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date1904="1" codeName="ThisWorkbook"/>
  <bookViews>
    <workbookView visibility="visible" minimized="0" showHorizontalScroll="1" showVerticalScroll="1" showSheetTabs="1" xWindow="-108" yWindow="-108" windowWidth="23256" windowHeight="12456" tabRatio="814" firstSheet="0" activeTab="0" autoFilterDateGrouping="1"/>
  </bookViews>
  <sheets>
    <sheet name="令和８年8月" sheetId="1" state="visible" r:id="rId1"/>
    <sheet name="令和８年3月" sheetId="2" state="visible" r:id="rId2"/>
    <sheet name="令和８年2月 " sheetId="3" state="visible" r:id="rId3"/>
    <sheet name="令和８年1月" sheetId="4" state="visible" r:id="rId4"/>
    <sheet name="令和７年12月 (3)" sheetId="5" state="visible" r:id="rId5"/>
    <sheet name="令和７年度10月 (2)" sheetId="6" state="visible" r:id="rId6"/>
    <sheet name="令和７年度10月" sheetId="7" state="visible" r:id="rId7"/>
    <sheet name="令和７年度9月" sheetId="8" state="visible" r:id="rId8"/>
    <sheet name="令和７年度8月県大会無しver." sheetId="9" state="visible" r:id="rId9"/>
    <sheet name="令和７年度8月県大会有りver." sheetId="10" state="visible" r:id="rId10"/>
    <sheet name="令和７年度6月 " sheetId="11" state="visible" r:id="rId11"/>
    <sheet name="令和７年度5月 (4)" sheetId="12" state="visible" r:id="rId12"/>
    <sheet name="令和７年度４月 (5)" sheetId="13" state="visible" r:id="rId13"/>
    <sheet name="令和３年度４月（生徒用）" sheetId="14" state="visible" r:id="rId14"/>
    <sheet name="令和4年度5月" sheetId="15" state="visible" r:id="rId15"/>
    <sheet name="R3-年間行事予定表" sheetId="16" state="visible" r:id="rId16"/>
    <sheet name="令和4年度5月 (2)" sheetId="17" state="visible" r:id="rId17"/>
    <sheet name="令和4年度5月 (3)" sheetId="18" state="visible" r:id="rId18"/>
    <sheet name="令和６年度1月" sheetId="19" state="visible" r:id="rId19"/>
    <sheet name="令和6年度2月 (4)" sheetId="20" state="visible" r:id="rId20"/>
  </sheets>
  <definedNames>
    <definedName name="_xlnm.Print_Area" localSheetId="1">'令和８年3月'!$A$7:$E$39</definedName>
    <definedName name="_xlnm.Print_Area" localSheetId="2">'令和８年2月 '!$A$7:$E$39</definedName>
    <definedName name="_xlnm.Print_Area" localSheetId="3">'令和８年1月'!$A$7:$E$39</definedName>
    <definedName name="_xlnm.Print_Area" localSheetId="4">'令和７年12月 (3)'!$A$7:$E$39</definedName>
    <definedName name="_xlnm.Print_Area" localSheetId="5">'令和７年度10月 (2)'!$A$7:$E$39</definedName>
    <definedName name="_xlnm.Print_Area" localSheetId="6">'令和７年度10月'!$A$7:$E$39</definedName>
    <definedName name="_xlnm.Print_Area" localSheetId="7">'令和７年度9月'!$A$7:$E$39</definedName>
    <definedName name="_xlnm.Print_Area" localSheetId="8">'令和７年度8月県大会無しver.'!$A$7:$E$39</definedName>
    <definedName name="_xlnm.Print_Area" localSheetId="9">'令和７年度8月県大会有りver.'!$A$7:$E$39</definedName>
    <definedName name="_xlnm.Print_Area" localSheetId="10">'令和７年度6月 '!$A$7:$E$38</definedName>
    <definedName name="_xlnm.Print_Area" localSheetId="11">'令和７年度5月 (4)'!$A$7:$E$39</definedName>
    <definedName name="_xlnm.Print_Area" localSheetId="12">'令和７年度４月 (5)'!$A$7:$E$39</definedName>
    <definedName name="_xlnm.Print_Area" localSheetId="13">'令和３年度４月（生徒用）'!$A$3:$C$39</definedName>
    <definedName name="_xlnm.Print_Area" localSheetId="14">'令和4年度5月'!$A$7:$E$39</definedName>
    <definedName name="Z_91A93F93_E4EF_448D_9CDB_12A84B41945E_.wvu.PrintArea" localSheetId="15" hidden="1">'R3-年間行事予定表'!$A$2:$BC$42</definedName>
    <definedName name="_xlnm.Print_Area" localSheetId="15">'R3-年間行事予定表'!$A$2:$BC$45</definedName>
    <definedName name="_xlnm.Print_Area" localSheetId="16">'令和4年度5月 (2)'!$A$7:$E$39</definedName>
    <definedName name="_xlnm.Print_Area" localSheetId="17">'令和4年度5月 (3)'!$A$7:$E$39</definedName>
    <definedName name="_xlnm.Print_Area" localSheetId="18">'令和６年度1月'!$A$7:$E$39</definedName>
    <definedName name="_xlnm.Print_Area" localSheetId="19">'令和6年度2月 (4)'!$A$7:$E$39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d"/>
    <numFmt numFmtId="165" formatCode="aaa"/>
  </numFmts>
  <fonts count="55">
    <font>
      <name val="ＭＳ Ｐゴシック"/>
      <charset val="128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HGPｺﾞｼｯｸM"/>
      <charset val="128"/>
      <family val="3"/>
      <sz val="11"/>
    </font>
    <font>
      <name val="HGPｺﾞｼｯｸM"/>
      <charset val="128"/>
      <family val="3"/>
      <color indexed="8"/>
      <sz val="14"/>
    </font>
    <font>
      <name val="HGPｺﾞｼｯｸM"/>
      <charset val="128"/>
      <family val="3"/>
      <b val="1"/>
      <color indexed="8"/>
      <sz val="14"/>
    </font>
    <font>
      <name val="HGPｺﾞｼｯｸM"/>
      <charset val="128"/>
      <family val="3"/>
      <sz val="14"/>
    </font>
    <font>
      <name val="HGPｺﾞｼｯｸM"/>
      <charset val="128"/>
      <family val="3"/>
      <sz val="12"/>
    </font>
    <font>
      <name val="HGPｺﾞｼｯｸM"/>
      <charset val="128"/>
      <family val="3"/>
      <color indexed="8"/>
      <sz val="10"/>
    </font>
    <font>
      <name val="HGPｺﾞｼｯｸM"/>
      <charset val="128"/>
      <family val="3"/>
      <sz val="10"/>
    </font>
    <font>
      <name val="HGPｺﾞｼｯｸM"/>
      <charset val="128"/>
      <family val="3"/>
      <color indexed="8"/>
      <sz val="12"/>
    </font>
    <font>
      <name val="HGPｺﾞｼｯｸM"/>
      <charset val="128"/>
      <family val="3"/>
      <color indexed="8"/>
      <sz val="9"/>
    </font>
    <font>
      <name val="HGPｺﾞｼｯｸM"/>
      <charset val="128"/>
      <family val="3"/>
      <b val="1"/>
      <sz val="14"/>
    </font>
    <font>
      <name val="HGPｺﾞｼｯｸM"/>
      <charset val="128"/>
      <family val="3"/>
      <b val="1"/>
      <sz val="13"/>
    </font>
    <font>
      <name val="HGPｺﾞｼｯｸM"/>
      <charset val="128"/>
      <family val="3"/>
      <color theme="1"/>
      <sz val="12"/>
    </font>
    <font>
      <name val="HGPｺﾞｼｯｸM"/>
      <charset val="128"/>
      <family val="3"/>
      <b val="1"/>
      <color theme="1"/>
      <sz val="11"/>
    </font>
    <font>
      <name val="HGPｺﾞｼｯｸM"/>
      <charset val="128"/>
      <family val="3"/>
      <sz val="8"/>
    </font>
    <font>
      <name val="HGPｺﾞｼｯｸM"/>
      <charset val="128"/>
      <family val="3"/>
      <sz val="9"/>
    </font>
    <font>
      <name val="HGPｺﾞｼｯｸM"/>
      <charset val="128"/>
      <family val="3"/>
      <color indexed="8"/>
      <sz val="8"/>
    </font>
    <font>
      <name val="ＭＳ Ｐゴシック"/>
      <charset val="128"/>
      <family val="3"/>
      <sz val="8"/>
    </font>
    <font>
      <name val="ヒラギノ角ゴPro"/>
      <charset val="128"/>
      <family val="3"/>
      <sz val="11"/>
    </font>
    <font>
      <name val="HGPｺﾞｼｯｸM"/>
      <charset val="128"/>
      <family val="3"/>
      <color theme="3" tint="-0.249977111117893"/>
      <sz val="10"/>
    </font>
    <font>
      <name val="HGPｺﾞｼｯｸM"/>
      <charset val="128"/>
      <family val="3"/>
      <color theme="3" tint="-0.249977111117893"/>
      <sz val="9"/>
    </font>
    <font>
      <name val="HGPｺﾞｼｯｸM"/>
      <charset val="128"/>
      <family val="3"/>
      <b val="1"/>
      <sz val="12"/>
    </font>
    <font>
      <name val="HGPｺﾞｼｯｸM"/>
      <charset val="128"/>
      <family val="3"/>
      <color theme="1"/>
      <sz val="10"/>
    </font>
    <font>
      <name val="HGPｺﾞｼｯｸM"/>
      <charset val="128"/>
      <family val="3"/>
      <color indexed="8"/>
      <sz val="7"/>
    </font>
    <font>
      <name val="HGPｺﾞｼｯｸM"/>
      <charset val="128"/>
      <family val="3"/>
      <color indexed="8"/>
      <sz val="6"/>
    </font>
    <font>
      <name val="HGPｺﾞｼｯｸM"/>
      <charset val="128"/>
      <family val="3"/>
      <color theme="1"/>
      <sz val="9"/>
    </font>
    <font>
      <name val="ＭＳ 明朝"/>
      <charset val="128"/>
      <family val="2"/>
      <color theme="1"/>
      <sz val="12"/>
    </font>
    <font>
      <name val="HGPｺﾞｼｯｸM"/>
      <charset val="128"/>
      <family val="3"/>
      <color indexed="8"/>
      <sz val="20"/>
    </font>
    <font>
      <name val="HGPｺﾞｼｯｸM"/>
      <charset val="128"/>
      <family val="3"/>
      <b val="1"/>
      <color indexed="8"/>
      <sz val="20"/>
    </font>
    <font>
      <name val="HGPｺﾞｼｯｸM"/>
      <charset val="128"/>
      <family val="3"/>
      <color indexed="8"/>
      <sz val="22"/>
    </font>
    <font>
      <name val="HGPｺﾞｼｯｸM"/>
      <charset val="128"/>
      <family val="3"/>
      <b val="1"/>
      <color indexed="8"/>
      <sz val="22"/>
    </font>
    <font>
      <name val="HGPｺﾞｼｯｸM"/>
      <charset val="128"/>
      <family val="3"/>
      <color theme="0"/>
      <sz val="10"/>
    </font>
    <font>
      <name val="HGPｺﾞｼｯｸM"/>
      <charset val="128"/>
      <family val="3"/>
      <color rgb="FFFF0000"/>
      <sz val="10"/>
      <u val="single"/>
    </font>
    <font>
      <name val="HGPｺﾞｼｯｸM"/>
      <charset val="128"/>
      <family val="3"/>
      <color rgb="FFFF0000"/>
      <sz val="10"/>
    </font>
    <font>
      <name val="HGSｺﾞｼｯｸM"/>
      <charset val="128"/>
      <family val="3"/>
      <color theme="1"/>
      <sz val="10"/>
    </font>
    <font>
      <name val="ＭＳ Ｐゴシック"/>
      <charset val="128"/>
      <family val="2"/>
      <sz val="6"/>
      <scheme val="minor"/>
    </font>
    <font>
      <name val="HGｺﾞｼｯｸM"/>
      <charset val="128"/>
      <family val="3"/>
      <color theme="1"/>
      <sz val="10"/>
    </font>
    <font>
      <name val="ＭＳ 明朝"/>
      <charset val="128"/>
      <family val="2"/>
      <sz val="6"/>
    </font>
    <font>
      <name val="HGPｺﾞｼｯｸM"/>
      <charset val="128"/>
      <family val="3"/>
      <b val="1"/>
      <color rgb="FFFF0000"/>
      <sz val="10"/>
    </font>
    <font>
      <name val="HGPｺﾞｼｯｸM"/>
      <charset val="128"/>
      <family val="3"/>
      <color theme="0"/>
      <sz val="11"/>
    </font>
    <font>
      <name val="HGPｺﾞｼｯｸM"/>
      <charset val="128"/>
      <family val="3"/>
      <color theme="1"/>
      <sz val="11"/>
    </font>
    <font>
      <name val="HGPｺﾞｼｯｸM"/>
      <charset val="128"/>
      <family val="3"/>
      <b val="1"/>
      <color theme="1"/>
      <sz val="10"/>
    </font>
    <font>
      <name val="HGPｺﾞｼｯｸM"/>
      <charset val="128"/>
      <family val="3"/>
      <b val="1"/>
      <sz val="11"/>
    </font>
    <font>
      <name val="HGPｺﾞｼｯｸM"/>
      <charset val="128"/>
      <family val="3"/>
      <color theme="1"/>
      <sz val="16"/>
    </font>
    <font>
      <name val="HGPｺﾞｼｯｸM"/>
      <charset val="128"/>
      <family val="3"/>
      <color rgb="FF000000"/>
      <sz val="10"/>
    </font>
    <font>
      <name val="HGPｺﾞｼｯｸM"/>
      <charset val="128"/>
      <family val="3"/>
      <color theme="1"/>
      <sz val="8"/>
    </font>
    <font>
      <name val="HGPｺﾞｼｯｸM"/>
      <charset val="128"/>
      <family val="3"/>
      <color theme="1"/>
      <sz val="14"/>
    </font>
    <font>
      <name val="HGPｺﾞｼｯｸM"/>
      <charset val="128"/>
      <family val="3"/>
      <color theme="1"/>
      <sz val="18"/>
    </font>
    <font>
      <name val="HGPｺﾞｼｯｸM"/>
      <charset val="128"/>
      <family val="3"/>
      <color rgb="FF000000"/>
      <sz val="11"/>
    </font>
    <font>
      <name val="HGPｺﾞｼｯｸM"/>
      <charset val="128"/>
      <family val="3"/>
      <color rgb="FF000000"/>
      <sz val="9"/>
    </font>
    <font>
      <name val="HGPｺﾞｼｯｸM"/>
      <charset val="128"/>
      <family val="3"/>
      <color rgb="FF000000"/>
      <sz val="8"/>
    </font>
    <font>
      <name val="HGPｺﾞｼｯｸM"/>
      <charset val="128"/>
      <family val="3"/>
      <b val="1"/>
      <color theme="1"/>
      <sz val="8"/>
    </font>
    <font>
      <name val="HGPｺﾞｼｯｸM"/>
      <charset val="128"/>
      <family val="3"/>
      <color rgb="FF000000"/>
      <sz val="20"/>
    </font>
  </fonts>
  <fills count="1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lightGray"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00FFCC99"/>
        <bgColor rgb="00FFCC99"/>
      </patternFill>
    </fill>
  </fills>
  <borders count="110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hair">
        <color auto="1"/>
      </left>
      <right style="thick">
        <color indexed="64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85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2" fillId="0" borderId="0" applyAlignment="1" pivotButton="0" quotePrefix="0" xfId="1">
      <alignment vertical="center"/>
    </xf>
    <xf numFmtId="0" fontId="7" fillId="0" borderId="0" applyAlignment="1" pivotButton="0" quotePrefix="0" xfId="1">
      <alignment vertical="center"/>
    </xf>
    <xf numFmtId="0" fontId="7" fillId="4" borderId="0" applyAlignment="1" pivotButton="0" quotePrefix="0" xfId="1">
      <alignment vertical="center"/>
    </xf>
    <xf numFmtId="0" fontId="3" fillId="0" borderId="0" applyAlignment="1" pivotButton="0" quotePrefix="0" xfId="1">
      <alignment horizontal="left" vertical="center"/>
    </xf>
    <xf numFmtId="0" fontId="14" fillId="3" borderId="25" applyAlignment="1" pivotButton="0" quotePrefix="0" xfId="1">
      <alignment horizontal="left" vertical="center" shrinkToFit="1"/>
    </xf>
    <xf numFmtId="0" fontId="15" fillId="5" borderId="27" applyAlignment="1" pivotButton="0" quotePrefix="0" xfId="0">
      <alignment vertical="center"/>
    </xf>
    <xf numFmtId="0" fontId="20" fillId="0" borderId="0" applyAlignment="1" pivotButton="0" quotePrefix="0" xfId="1">
      <alignment vertical="center"/>
    </xf>
    <xf numFmtId="0" fontId="8" fillId="2" borderId="2" applyAlignment="1" pivotButton="0" quotePrefix="0" xfId="1">
      <alignment horizontal="center" vertical="center"/>
    </xf>
    <xf numFmtId="0" fontId="8" fillId="0" borderId="6" applyAlignment="1" pivotButton="0" quotePrefix="0" xfId="1">
      <alignment horizontal="center" vertical="center"/>
    </xf>
    <xf numFmtId="0" fontId="8" fillId="2" borderId="6" applyAlignment="1" pivotButton="0" quotePrefix="0" xfId="1">
      <alignment horizontal="center" vertical="center"/>
    </xf>
    <xf numFmtId="0" fontId="8" fillId="2" borderId="10" applyAlignment="1" pivotButton="0" quotePrefix="0" xfId="1">
      <alignment horizontal="center" vertical="center" shrinkToFit="1"/>
    </xf>
    <xf numFmtId="0" fontId="8" fillId="2" borderId="6" applyAlignment="1" pivotButton="0" quotePrefix="0" xfId="1">
      <alignment horizontal="center" vertical="center" shrinkToFit="1"/>
    </xf>
    <xf numFmtId="0" fontId="9" fillId="2" borderId="6" applyAlignment="1" pivotButton="0" quotePrefix="0" xfId="1">
      <alignment horizontal="left" vertical="center"/>
    </xf>
    <xf numFmtId="0" fontId="8" fillId="2" borderId="11" applyAlignment="1" pivotButton="0" quotePrefix="0" xfId="1">
      <alignment horizontal="left" vertical="center"/>
    </xf>
    <xf numFmtId="0" fontId="9" fillId="2" borderId="6" applyAlignment="1" pivotButton="0" quotePrefix="0" xfId="1">
      <alignment horizontal="right" vertical="center"/>
    </xf>
    <xf numFmtId="0" fontId="8" fillId="2" borderId="3" applyAlignment="1" pivotButton="0" quotePrefix="0" xfId="1">
      <alignment horizontal="center" vertical="center"/>
    </xf>
    <xf numFmtId="0" fontId="8" fillId="2" borderId="10" applyAlignment="1" pivotButton="0" quotePrefix="0" xfId="1">
      <alignment horizontal="center" vertical="center"/>
    </xf>
    <xf numFmtId="0" fontId="9" fillId="2" borderId="2" applyAlignment="1" pivotButton="0" quotePrefix="0" xfId="1">
      <alignment horizontal="left" vertical="center"/>
    </xf>
    <xf numFmtId="0" fontId="8" fillId="2" borderId="6" applyAlignment="1" pivotButton="0" quotePrefix="0" xfId="1">
      <alignment horizontal="left" vertical="center"/>
    </xf>
    <xf numFmtId="0" fontId="8" fillId="2" borderId="6" applyAlignment="1" pivotButton="0" quotePrefix="0" xfId="1">
      <alignment horizontal="right" vertical="center"/>
    </xf>
    <xf numFmtId="0" fontId="9" fillId="2" borderId="7" applyAlignment="1" pivotButton="0" quotePrefix="0" xfId="1">
      <alignment horizontal="left" vertical="center"/>
    </xf>
    <xf numFmtId="0" fontId="8" fillId="2" borderId="9" applyAlignment="1" pivotButton="0" quotePrefix="0" xfId="1">
      <alignment horizontal="center" vertical="center" shrinkToFit="1"/>
    </xf>
    <xf numFmtId="0" fontId="8" fillId="2" borderId="2" applyAlignment="1" pivotButton="0" quotePrefix="0" xfId="1">
      <alignment horizontal="left" vertical="center"/>
    </xf>
    <xf numFmtId="0" fontId="9" fillId="2" borderId="11" applyAlignment="1" pivotButton="0" quotePrefix="0" xfId="1">
      <alignment horizontal="left" vertical="center"/>
    </xf>
    <xf numFmtId="0" fontId="9" fillId="2" borderId="6" applyAlignment="1" pivotButton="0" quotePrefix="0" xfId="1">
      <alignment horizontal="left" vertical="center" wrapText="1"/>
    </xf>
    <xf numFmtId="0" fontId="9" fillId="2" borderId="11" applyAlignment="1" pivotButton="0" quotePrefix="0" xfId="1">
      <alignment horizontal="right" vertical="center"/>
    </xf>
    <xf numFmtId="0" fontId="8" fillId="2" borderId="11" applyAlignment="1" pivotButton="0" quotePrefix="0" xfId="1">
      <alignment horizontal="left" vertical="center" wrapText="1"/>
    </xf>
    <xf numFmtId="0" fontId="9" fillId="2" borderId="6" applyAlignment="1" pivotButton="0" quotePrefix="0" xfId="1">
      <alignment vertical="center"/>
    </xf>
    <xf numFmtId="0" fontId="9" fillId="2" borderId="25" applyAlignment="1" pivotButton="0" quotePrefix="0" xfId="1">
      <alignment horizontal="right" vertical="center"/>
    </xf>
    <xf numFmtId="0" fontId="9" fillId="0" borderId="25" applyAlignment="1" pivotButton="0" quotePrefix="0" xfId="1">
      <alignment horizontal="left" vertical="center"/>
    </xf>
    <xf numFmtId="0" fontId="8" fillId="0" borderId="32" applyAlignment="1" pivotButton="0" quotePrefix="0" xfId="1">
      <alignment horizontal="center" vertical="center" shrinkToFit="1"/>
    </xf>
    <xf numFmtId="0" fontId="8" fillId="2" borderId="32" applyAlignment="1" pivotButton="0" quotePrefix="0" xfId="1">
      <alignment horizontal="center" vertical="center" shrinkToFit="1"/>
    </xf>
    <xf numFmtId="0" fontId="8" fillId="0" borderId="32" applyAlignment="1" pivotButton="0" quotePrefix="0" xfId="1">
      <alignment horizontal="center" vertical="center"/>
    </xf>
    <xf numFmtId="0" fontId="8" fillId="2" borderId="32" applyAlignment="1" pivotButton="0" quotePrefix="0" xfId="1">
      <alignment horizontal="center" vertical="center"/>
    </xf>
    <xf numFmtId="0" fontId="8" fillId="2" borderId="33" applyAlignment="1" pivotButton="0" quotePrefix="0" xfId="1">
      <alignment horizontal="center" vertical="center"/>
    </xf>
    <xf numFmtId="0" fontId="8" fillId="6" borderId="6" applyAlignment="1" pivotButton="0" quotePrefix="0" xfId="1">
      <alignment horizontal="center" vertical="center"/>
    </xf>
    <xf numFmtId="0" fontId="9" fillId="0" borderId="25" applyAlignment="1" pivotButton="0" quotePrefix="0" xfId="1">
      <alignment vertical="center" wrapText="1"/>
    </xf>
    <xf numFmtId="0" fontId="9" fillId="6" borderId="6" applyAlignment="1" pivotButton="0" quotePrefix="0" xfId="1">
      <alignment horizontal="left" vertical="center" wrapText="1"/>
    </xf>
    <xf numFmtId="0" fontId="8" fillId="7" borderId="6" applyAlignment="1" pivotButton="0" quotePrefix="0" xfId="1">
      <alignment horizontal="center" vertical="center"/>
    </xf>
    <xf numFmtId="0" fontId="21" fillId="2" borderId="6" applyAlignment="1" pivotButton="0" quotePrefix="0" xfId="1">
      <alignment horizontal="left" vertical="center"/>
    </xf>
    <xf numFmtId="0" fontId="21" fillId="2" borderId="6" applyAlignment="1" pivotButton="0" quotePrefix="0" xfId="1">
      <alignment horizontal="right" vertical="center"/>
    </xf>
    <xf numFmtId="0" fontId="9" fillId="2" borderId="9" applyAlignment="1" pivotButton="0" quotePrefix="0" xfId="1">
      <alignment horizontal="center" vertical="center"/>
    </xf>
    <xf numFmtId="0" fontId="9" fillId="2" borderId="2" applyAlignment="1" pivotButton="0" quotePrefix="0" xfId="1">
      <alignment horizontal="center" vertical="center"/>
    </xf>
    <xf numFmtId="0" fontId="9" fillId="2" borderId="2" applyAlignment="1" pivotButton="0" quotePrefix="0" xfId="1">
      <alignment horizontal="left" vertical="center" wrapText="1"/>
    </xf>
    <xf numFmtId="0" fontId="21" fillId="2" borderId="6" applyAlignment="1" pivotButton="0" quotePrefix="0" xfId="1">
      <alignment horizontal="left" vertical="center" wrapText="1"/>
    </xf>
    <xf numFmtId="0" fontId="21" fillId="2" borderId="2" applyAlignment="1" pivotButton="0" quotePrefix="0" xfId="1">
      <alignment horizontal="left" vertical="center"/>
    </xf>
    <xf numFmtId="0" fontId="3" fillId="6" borderId="6" applyAlignment="1" pivotButton="0" quotePrefix="0" xfId="1">
      <alignment vertical="center"/>
    </xf>
    <xf numFmtId="0" fontId="8" fillId="7" borderId="6" applyAlignment="1" pivotButton="0" quotePrefix="0" xfId="1">
      <alignment horizontal="center" vertical="center" shrinkToFit="1"/>
    </xf>
    <xf numFmtId="0" fontId="8" fillId="2" borderId="37" applyAlignment="1" pivotButton="0" quotePrefix="0" xfId="1">
      <alignment horizontal="center" vertical="center" shrinkToFit="1"/>
    </xf>
    <xf numFmtId="0" fontId="8" fillId="2" borderId="36" applyAlignment="1" pivotButton="0" quotePrefix="0" xfId="1">
      <alignment horizontal="center" vertical="center"/>
    </xf>
    <xf numFmtId="0" fontId="8" fillId="2" borderId="57" applyAlignment="1" pivotButton="0" quotePrefix="0" xfId="1">
      <alignment horizontal="left" vertical="center"/>
    </xf>
    <xf numFmtId="0" fontId="8" fillId="0" borderId="25" applyAlignment="1" pivotButton="0" quotePrefix="0" xfId="1">
      <alignment horizontal="left" vertical="center"/>
    </xf>
    <xf numFmtId="0" fontId="9" fillId="0" borderId="57" applyAlignment="1" pivotButton="0" quotePrefix="0" xfId="1">
      <alignment horizontal="left" vertical="center"/>
    </xf>
    <xf numFmtId="0" fontId="21" fillId="2" borderId="25" applyAlignment="1" pivotButton="0" quotePrefix="0" xfId="1">
      <alignment horizontal="left" vertical="center"/>
    </xf>
    <xf numFmtId="0" fontId="9" fillId="2" borderId="57" applyAlignment="1" pivotButton="0" quotePrefix="0" xfId="1">
      <alignment horizontal="left" vertical="center"/>
    </xf>
    <xf numFmtId="0" fontId="8" fillId="0" borderId="33" applyAlignment="1" pivotButton="0" quotePrefix="0" xfId="1">
      <alignment horizontal="center" vertical="center"/>
    </xf>
    <xf numFmtId="0" fontId="8" fillId="2" borderId="25" applyAlignment="1" pivotButton="0" quotePrefix="0" xfId="1">
      <alignment horizontal="left" vertical="center"/>
    </xf>
    <xf numFmtId="0" fontId="9" fillId="2" borderId="25" applyAlignment="1" pivotButton="0" quotePrefix="0" xfId="1">
      <alignment horizontal="right" vertical="center" wrapText="1"/>
    </xf>
    <xf numFmtId="0" fontId="9" fillId="0" borderId="25" applyAlignment="1" pivotButton="0" quotePrefix="0" xfId="1">
      <alignment vertical="center" shrinkToFit="1"/>
    </xf>
    <xf numFmtId="0" fontId="8" fillId="0" borderId="25" applyAlignment="1" pivotButton="0" quotePrefix="0" xfId="1">
      <alignment horizontal="left" vertical="center" shrinkToFit="1"/>
    </xf>
    <xf numFmtId="0" fontId="8" fillId="7" borderId="32" applyAlignment="1" pivotButton="0" quotePrefix="0" xfId="1">
      <alignment horizontal="center" vertical="center"/>
    </xf>
    <xf numFmtId="0" fontId="9" fillId="7" borderId="25" applyAlignment="1" pivotButton="0" quotePrefix="0" xfId="1">
      <alignment horizontal="left" vertical="center"/>
    </xf>
    <xf numFmtId="0" fontId="8" fillId="7" borderId="32" applyAlignment="1" pivotButton="0" quotePrefix="0" xfId="1">
      <alignment horizontal="center" vertical="center" shrinkToFit="1"/>
    </xf>
    <xf numFmtId="0" fontId="9" fillId="7" borderId="25" applyAlignment="1" pivotButton="0" quotePrefix="0" xfId="1">
      <alignment vertical="center"/>
    </xf>
    <xf numFmtId="0" fontId="9" fillId="2" borderId="25" applyAlignment="1" pivotButton="0" quotePrefix="0" xfId="1">
      <alignment vertical="center"/>
    </xf>
    <xf numFmtId="0" fontId="8" fillId="8" borderId="32" applyAlignment="1" pivotButton="0" quotePrefix="0" xfId="1">
      <alignment horizontal="center" vertical="center" shrinkToFit="1"/>
    </xf>
    <xf numFmtId="0" fontId="8" fillId="8" borderId="6" applyAlignment="1" pivotButton="0" quotePrefix="0" xfId="1">
      <alignment horizontal="center" vertical="center"/>
    </xf>
    <xf numFmtId="0" fontId="9" fillId="8" borderId="25" applyAlignment="1" pivotButton="0" quotePrefix="0" xfId="1">
      <alignment vertical="center"/>
    </xf>
    <xf numFmtId="0" fontId="8" fillId="8" borderId="32" applyAlignment="1" pivotButton="0" quotePrefix="0" xfId="1">
      <alignment horizontal="center" vertical="center"/>
    </xf>
    <xf numFmtId="0" fontId="8" fillId="8" borderId="36" applyAlignment="1" pivotButton="0" quotePrefix="0" xfId="1">
      <alignment horizontal="center" vertical="center"/>
    </xf>
    <xf numFmtId="0" fontId="9" fillId="8" borderId="64" applyAlignment="1" pivotButton="0" quotePrefix="0" xfId="1">
      <alignment horizontal="right" vertical="center"/>
    </xf>
    <xf numFmtId="0" fontId="9" fillId="8" borderId="25" applyAlignment="1" pivotButton="0" quotePrefix="0" xfId="1">
      <alignment horizontal="right" vertical="center"/>
    </xf>
    <xf numFmtId="0" fontId="3" fillId="6" borderId="0" applyAlignment="1" pivotButton="0" quotePrefix="0" xfId="1">
      <alignment vertical="center"/>
    </xf>
    <xf numFmtId="0" fontId="4" fillId="6" borderId="13" applyAlignment="1" pivotButton="0" quotePrefix="0" xfId="1">
      <alignment horizontal="left" vertical="center"/>
    </xf>
    <xf numFmtId="14" fontId="5" fillId="6" borderId="14" applyAlignment="1" pivotButton="0" quotePrefix="0" xfId="1">
      <alignment horizontal="left" vertical="center"/>
    </xf>
    <xf numFmtId="0" fontId="7" fillId="6" borderId="0" applyAlignment="1" pivotButton="0" quotePrefix="0" xfId="1">
      <alignment vertical="center"/>
    </xf>
    <xf numFmtId="0" fontId="3" fillId="6" borderId="13" applyAlignment="1" pivotButton="0" quotePrefix="0" xfId="1">
      <alignment vertical="center"/>
    </xf>
    <xf numFmtId="14" fontId="3" fillId="6" borderId="0" applyAlignment="1" pivotButton="0" quotePrefix="0" xfId="1">
      <alignment vertical="center"/>
    </xf>
    <xf numFmtId="0" fontId="2" fillId="0" borderId="0" pivotButton="0" quotePrefix="0" xfId="1"/>
    <xf numFmtId="0" fontId="9" fillId="9" borderId="9" applyAlignment="1" pivotButton="0" quotePrefix="0" xfId="1">
      <alignment horizontal="center" vertical="center"/>
    </xf>
    <xf numFmtId="0" fontId="9" fillId="9" borderId="58" applyAlignment="1" pivotButton="0" quotePrefix="0" xfId="1">
      <alignment horizontal="center" vertical="center"/>
    </xf>
    <xf numFmtId="0" fontId="9" fillId="9" borderId="2" applyAlignment="1" pivotButton="0" quotePrefix="0" xfId="1">
      <alignment horizontal="center" vertical="center"/>
    </xf>
    <xf numFmtId="0" fontId="17" fillId="9" borderId="2" applyAlignment="1" pivotButton="0" quotePrefix="0" xfId="1">
      <alignment horizontal="left" vertical="center" shrinkToFit="1"/>
    </xf>
    <xf numFmtId="0" fontId="8" fillId="6" borderId="2" applyAlignment="1" pivotButton="0" quotePrefix="0" xfId="1">
      <alignment horizontal="center" vertical="center"/>
    </xf>
    <xf numFmtId="0" fontId="8" fillId="6" borderId="6" applyAlignment="1" pivotButton="0" quotePrefix="0" xfId="1">
      <alignment vertical="center"/>
    </xf>
    <xf numFmtId="0" fontId="8" fillId="6" borderId="10" applyAlignment="1" pivotButton="0" quotePrefix="0" xfId="1">
      <alignment horizontal="center" vertical="center"/>
    </xf>
    <xf numFmtId="0" fontId="8" fillId="6" borderId="6" applyAlignment="1" pivotButton="0" quotePrefix="0" xfId="1">
      <alignment horizontal="left" vertical="center"/>
    </xf>
    <xf numFmtId="0" fontId="8" fillId="9" borderId="6" applyAlignment="1" pivotButton="0" quotePrefix="0" xfId="1">
      <alignment horizontal="center" vertical="center"/>
    </xf>
    <xf numFmtId="0" fontId="8" fillId="9" borderId="3" applyAlignment="1" pivotButton="0" quotePrefix="0" xfId="1">
      <alignment horizontal="center" vertical="center"/>
    </xf>
    <xf numFmtId="0" fontId="9" fillId="9" borderId="6" applyAlignment="1" pivotButton="0" quotePrefix="0" xfId="1">
      <alignment horizontal="left" vertical="center"/>
    </xf>
    <xf numFmtId="0" fontId="8" fillId="6" borderId="7" applyAlignment="1" pivotButton="0" quotePrefix="0" xfId="1">
      <alignment horizontal="center" vertical="center"/>
    </xf>
    <xf numFmtId="0" fontId="3" fillId="6" borderId="7" applyAlignment="1" pivotButton="0" quotePrefix="0" xfId="1">
      <alignment vertical="center"/>
    </xf>
    <xf numFmtId="0" fontId="8" fillId="6" borderId="8" applyAlignment="1" pivotButton="0" quotePrefix="0" xfId="1">
      <alignment horizontal="left" vertical="center"/>
    </xf>
    <xf numFmtId="0" fontId="8" fillId="6" borderId="1" applyAlignment="1" pivotButton="0" quotePrefix="0" xfId="1">
      <alignment horizontal="center" vertical="center"/>
    </xf>
    <xf numFmtId="0" fontId="8" fillId="6" borderId="5" applyAlignment="1" pivotButton="0" quotePrefix="0" xfId="1">
      <alignment horizontal="center" vertical="center"/>
    </xf>
    <xf numFmtId="0" fontId="8" fillId="6" borderId="6" applyAlignment="1" pivotButton="0" quotePrefix="0" xfId="1">
      <alignment horizontal="center" vertical="center" shrinkToFit="1"/>
    </xf>
    <xf numFmtId="0" fontId="8" fillId="6" borderId="7" applyAlignment="1" pivotButton="0" quotePrefix="0" xfId="1">
      <alignment horizontal="left" vertical="center"/>
    </xf>
    <xf numFmtId="0" fontId="8" fillId="9" borderId="10" applyAlignment="1" pivotButton="0" quotePrefix="0" xfId="1">
      <alignment horizontal="center" vertical="center" shrinkToFit="1"/>
    </xf>
    <xf numFmtId="0" fontId="8" fillId="9" borderId="6" applyAlignment="1" pivotButton="0" quotePrefix="0" xfId="1">
      <alignment horizontal="center" vertical="center" shrinkToFit="1"/>
    </xf>
    <xf numFmtId="0" fontId="21" fillId="9" borderId="2" applyAlignment="1" pivotButton="0" quotePrefix="0" xfId="1">
      <alignment horizontal="left" vertical="center"/>
    </xf>
    <xf numFmtId="0" fontId="8" fillId="6" borderId="4" applyAlignment="1" pivotButton="0" quotePrefix="0" xfId="1">
      <alignment horizontal="center" vertical="center" shrinkToFit="1"/>
    </xf>
    <xf numFmtId="0" fontId="8" fillId="6" borderId="7" applyAlignment="1" pivotButton="0" quotePrefix="0" xfId="1">
      <alignment horizontal="center" vertical="center" shrinkToFit="1"/>
    </xf>
    <xf numFmtId="0" fontId="21" fillId="6" borderId="6" applyAlignment="1" pivotButton="0" quotePrefix="0" xfId="1">
      <alignment horizontal="left" vertical="top" wrapText="1"/>
    </xf>
    <xf numFmtId="0" fontId="11" fillId="6" borderId="8" applyAlignment="1" pivotButton="0" quotePrefix="0" xfId="1">
      <alignment horizontal="left" vertical="center" wrapText="1"/>
    </xf>
    <xf numFmtId="0" fontId="17" fillId="9" borderId="2" applyAlignment="1" pivotButton="0" quotePrefix="0" xfId="1">
      <alignment horizontal="left" vertical="center" wrapText="1"/>
    </xf>
    <xf numFmtId="0" fontId="21" fillId="2" borderId="7" applyAlignment="1" pivotButton="0" quotePrefix="0" xfId="1">
      <alignment horizontal="right" vertical="center" wrapText="1"/>
    </xf>
    <xf numFmtId="0" fontId="8" fillId="6" borderId="2" applyAlignment="1" pivotButton="0" quotePrefix="0" xfId="1">
      <alignment horizontal="left" vertical="center"/>
    </xf>
    <xf numFmtId="0" fontId="8" fillId="6" borderId="11" applyAlignment="1" pivotButton="0" quotePrefix="0" xfId="1">
      <alignment horizontal="left" vertical="center"/>
    </xf>
    <xf numFmtId="0" fontId="8" fillId="6" borderId="9" applyAlignment="1" pivotButton="0" quotePrefix="0" xfId="1">
      <alignment horizontal="center" vertical="center"/>
    </xf>
    <xf numFmtId="0" fontId="11" fillId="6" borderId="6" applyAlignment="1" pivotButton="0" quotePrefix="0" xfId="1">
      <alignment vertical="center" wrapText="1"/>
    </xf>
    <xf numFmtId="0" fontId="21" fillId="9" borderId="2" applyAlignment="1" pivotButton="0" quotePrefix="0" xfId="1">
      <alignment horizontal="right" vertical="center"/>
    </xf>
    <xf numFmtId="0" fontId="8" fillId="6" borderId="10" applyAlignment="1" pivotButton="0" quotePrefix="0" xfId="1">
      <alignment horizontal="center" vertical="center" shrinkToFit="1"/>
    </xf>
    <xf numFmtId="0" fontId="8" fillId="6" borderId="11" applyAlignment="1" pivotButton="0" quotePrefix="0" xfId="1">
      <alignment horizontal="left" vertical="center" shrinkToFit="1"/>
    </xf>
    <xf numFmtId="0" fontId="9" fillId="9" borderId="2" applyAlignment="1" pivotButton="0" quotePrefix="0" xfId="1">
      <alignment horizontal="left" vertical="center"/>
    </xf>
    <xf numFmtId="0" fontId="8" fillId="6" borderId="9" applyAlignment="1" pivotButton="0" quotePrefix="0" xfId="1">
      <alignment horizontal="center" vertical="center" shrinkToFit="1"/>
    </xf>
    <xf numFmtId="0" fontId="11" fillId="6" borderId="7" applyAlignment="1" pivotButton="0" quotePrefix="0" xfId="1">
      <alignment horizontal="left" vertical="center" wrapText="1" shrinkToFit="1"/>
    </xf>
    <xf numFmtId="0" fontId="9" fillId="6" borderId="7" applyAlignment="1" pivotButton="0" quotePrefix="0" xfId="1">
      <alignment horizontal="left" vertical="center"/>
    </xf>
    <xf numFmtId="0" fontId="8" fillId="9" borderId="10" applyAlignment="1" pivotButton="0" quotePrefix="0" xfId="1">
      <alignment horizontal="center" vertical="center"/>
    </xf>
    <xf numFmtId="0" fontId="9" fillId="2" borderId="58" applyAlignment="1" pivotButton="0" quotePrefix="0" xfId="1">
      <alignment horizontal="center" vertical="center"/>
    </xf>
    <xf numFmtId="0" fontId="21" fillId="6" borderId="6" applyAlignment="1" pivotButton="0" quotePrefix="0" xfId="1">
      <alignment horizontal="left" vertical="center"/>
    </xf>
    <xf numFmtId="0" fontId="9" fillId="9" borderId="6" applyAlignment="1" pivotButton="0" quotePrefix="0" xfId="1">
      <alignment vertical="center"/>
    </xf>
    <xf numFmtId="0" fontId="9" fillId="2" borderId="6" applyAlignment="1" pivotButton="0" quotePrefix="1" xfId="1">
      <alignment horizontal="left" vertical="center"/>
    </xf>
    <xf numFmtId="0" fontId="9" fillId="6" borderId="6" applyAlignment="1" pivotButton="0" quotePrefix="0" xfId="1">
      <alignment horizontal="left" vertical="center"/>
    </xf>
    <xf numFmtId="0" fontId="22" fillId="6" borderId="6" applyAlignment="1" pivotButton="0" quotePrefix="0" xfId="1">
      <alignment horizontal="left" vertical="center" wrapText="1"/>
    </xf>
    <xf numFmtId="0" fontId="8" fillId="9" borderId="7" applyAlignment="1" pivotButton="0" quotePrefix="0" xfId="1">
      <alignment horizontal="center" vertical="center"/>
    </xf>
    <xf numFmtId="0" fontId="21" fillId="6" borderId="6" applyAlignment="1" pivotButton="0" quotePrefix="0" xfId="1">
      <alignment horizontal="left" vertical="center" wrapText="1"/>
    </xf>
    <xf numFmtId="0" fontId="8" fillId="9" borderId="5" applyAlignment="1" pivotButton="0" quotePrefix="0" xfId="1">
      <alignment horizontal="center" vertical="center"/>
    </xf>
    <xf numFmtId="0" fontId="9" fillId="6" borderId="9" applyAlignment="1" pivotButton="0" quotePrefix="0" xfId="1">
      <alignment horizontal="center" vertical="center"/>
    </xf>
    <xf numFmtId="0" fontId="9" fillId="6" borderId="58" applyAlignment="1" pivotButton="0" quotePrefix="0" xfId="1">
      <alignment horizontal="center" vertical="center"/>
    </xf>
    <xf numFmtId="0" fontId="9" fillId="6" borderId="2" applyAlignment="1" pivotButton="0" quotePrefix="0" xfId="1">
      <alignment horizontal="center" vertical="center"/>
    </xf>
    <xf numFmtId="0" fontId="17" fillId="6" borderId="2" applyAlignment="1" pivotButton="0" quotePrefix="0" xfId="1">
      <alignment horizontal="left" vertical="center" wrapText="1"/>
    </xf>
    <xf numFmtId="0" fontId="9" fillId="6" borderId="2" applyAlignment="1" pivotButton="0" quotePrefix="0" xfId="1">
      <alignment horizontal="left" vertical="center"/>
    </xf>
    <xf numFmtId="0" fontId="8" fillId="6" borderId="6" applyAlignment="1" pivotButton="0" quotePrefix="0" xfId="1">
      <alignment horizontal="left" vertical="center" wrapText="1"/>
    </xf>
    <xf numFmtId="0" fontId="9" fillId="6" borderId="1" applyAlignment="1" pivotButton="0" quotePrefix="0" xfId="1">
      <alignment horizontal="center" vertical="center"/>
    </xf>
    <xf numFmtId="0" fontId="22" fillId="2" borderId="6" applyAlignment="1" pivotButton="0" quotePrefix="0" xfId="1">
      <alignment horizontal="left" vertical="center" wrapText="1"/>
    </xf>
    <xf numFmtId="0" fontId="9" fillId="2" borderId="6" applyAlignment="1" pivotButton="0" quotePrefix="0" xfId="1">
      <alignment vertical="center" wrapText="1"/>
    </xf>
    <xf numFmtId="0" fontId="16" fillId="6" borderId="6" applyAlignment="1" pivotButton="0" quotePrefix="0" xfId="1">
      <alignment horizontal="left" vertical="center" wrapText="1"/>
    </xf>
    <xf numFmtId="0" fontId="9" fillId="6" borderId="2" applyAlignment="1" pivotButton="0" quotePrefix="0" xfId="1">
      <alignment vertical="center" wrapText="1"/>
    </xf>
    <xf numFmtId="0" fontId="21" fillId="6" borderId="6" applyAlignment="1" pivotButton="0" quotePrefix="0" xfId="1">
      <alignment vertical="center"/>
    </xf>
    <xf numFmtId="0" fontId="8" fillId="6" borderId="2" applyAlignment="1" pivotButton="0" quotePrefix="0" xfId="1">
      <alignment horizontal="left" vertical="center" wrapText="1"/>
    </xf>
    <xf numFmtId="0" fontId="9" fillId="6" borderId="11" applyAlignment="1" pivotButton="0" quotePrefix="0" xfId="1">
      <alignment horizontal="left" vertical="center"/>
    </xf>
    <xf numFmtId="0" fontId="21" fillId="2" borderId="2" applyAlignment="1" pivotButton="0" quotePrefix="0" xfId="1">
      <alignment vertical="center"/>
    </xf>
    <xf numFmtId="0" fontId="9" fillId="2" borderId="2" applyAlignment="1" pivotButton="0" quotePrefix="0" xfId="1">
      <alignment horizontal="left" vertical="top" wrapText="1"/>
    </xf>
    <xf numFmtId="0" fontId="24" fillId="6" borderId="6" applyAlignment="1" pivotButton="0" quotePrefix="0" xfId="1">
      <alignment horizontal="left" vertical="center" wrapText="1"/>
    </xf>
    <xf numFmtId="0" fontId="9" fillId="2" borderId="2" applyAlignment="1" pivotButton="0" quotePrefix="0" xfId="1">
      <alignment vertical="center" wrapText="1"/>
    </xf>
    <xf numFmtId="0" fontId="9" fillId="6" borderId="9" applyAlignment="1" pivotButton="0" quotePrefix="0" xfId="1">
      <alignment horizontal="center" vertical="center" shrinkToFit="1"/>
    </xf>
    <xf numFmtId="0" fontId="9" fillId="6" borderId="58" applyAlignment="1" pivotButton="0" quotePrefix="0" xfId="1">
      <alignment horizontal="center" vertical="center" shrinkToFit="1"/>
    </xf>
    <xf numFmtId="0" fontId="16" fillId="6" borderId="2" applyAlignment="1" pivotButton="0" quotePrefix="0" xfId="1">
      <alignment horizontal="left" vertical="center" wrapText="1"/>
    </xf>
    <xf numFmtId="0" fontId="9" fillId="2" borderId="6" applyAlignment="1" pivotButton="0" quotePrefix="0" xfId="1">
      <alignment horizontal="center" vertical="center"/>
    </xf>
    <xf numFmtId="0" fontId="8" fillId="6" borderId="3" applyAlignment="1" pivotButton="0" quotePrefix="0" xfId="1">
      <alignment horizontal="center" vertical="center"/>
    </xf>
    <xf numFmtId="0" fontId="18" fillId="6" borderId="2" applyAlignment="1" pivotButton="0" quotePrefix="0" xfId="1">
      <alignment horizontal="left" vertical="center" wrapText="1"/>
    </xf>
    <xf numFmtId="0" fontId="8" fillId="6" borderId="2" applyAlignment="1" pivotButton="0" quotePrefix="0" xfId="1">
      <alignment horizontal="center" vertical="center" shrinkToFit="1"/>
    </xf>
    <xf numFmtId="0" fontId="21" fillId="6" borderId="2" applyAlignment="1" pivotButton="0" quotePrefix="0" xfId="1">
      <alignment horizontal="left" vertical="center"/>
    </xf>
    <xf numFmtId="0" fontId="9" fillId="6" borderId="2" applyAlignment="1" pivotButton="0" quotePrefix="0" xfId="1">
      <alignment vertical="center"/>
    </xf>
    <xf numFmtId="0" fontId="9" fillId="6" borderId="6" applyAlignment="1" pivotButton="0" quotePrefix="0" xfId="1">
      <alignment vertical="center" wrapText="1"/>
    </xf>
    <xf numFmtId="0" fontId="11" fillId="6" borderId="11" applyAlignment="1" pivotButton="0" quotePrefix="0" xfId="1">
      <alignment horizontal="left" vertical="center" wrapText="1"/>
    </xf>
    <xf numFmtId="0" fontId="3" fillId="6" borderId="34" applyAlignment="1" pivotButton="0" quotePrefix="0" xfId="1">
      <alignment vertical="center"/>
    </xf>
    <xf numFmtId="0" fontId="3" fillId="6" borderId="4" applyAlignment="1" pivotButton="0" quotePrefix="0" xfId="1">
      <alignment vertical="center"/>
    </xf>
    <xf numFmtId="0" fontId="3" fillId="6" borderId="35" applyAlignment="1" pivotButton="0" quotePrefix="0" xfId="1">
      <alignment vertical="center"/>
    </xf>
    <xf numFmtId="0" fontId="3" fillId="6" borderId="32" applyAlignment="1" pivotButton="0" quotePrefix="0" xfId="1">
      <alignment vertical="center"/>
    </xf>
    <xf numFmtId="0" fontId="3" fillId="6" borderId="25" applyAlignment="1" pivotButton="0" quotePrefix="0" xfId="1">
      <alignment vertical="center"/>
    </xf>
    <xf numFmtId="0" fontId="9" fillId="6" borderId="2" applyAlignment="1" pivotButton="0" quotePrefix="0" xfId="1">
      <alignment horizontal="left" vertical="center" wrapText="1"/>
    </xf>
    <xf numFmtId="0" fontId="21" fillId="6" borderId="2" applyAlignment="1" pivotButton="0" quotePrefix="0" xfId="1">
      <alignment horizontal="left" vertical="center" wrapText="1"/>
    </xf>
    <xf numFmtId="0" fontId="8" fillId="9" borderId="3" applyAlignment="1" pivotButton="0" quotePrefix="0" xfId="1">
      <alignment horizontal="center" vertical="center" shrinkToFit="1"/>
    </xf>
    <xf numFmtId="0" fontId="8" fillId="6" borderId="11" applyAlignment="1" pivotButton="0" quotePrefix="0" xfId="1">
      <alignment horizontal="left" vertical="center" wrapText="1"/>
    </xf>
    <xf numFmtId="0" fontId="25" fillId="6" borderId="11" applyAlignment="1" pivotButton="0" quotePrefix="0" xfId="1">
      <alignment horizontal="left" vertical="center" wrapText="1" shrinkToFit="1"/>
    </xf>
    <xf numFmtId="0" fontId="21" fillId="6" borderId="6" applyAlignment="1" pivotButton="0" quotePrefix="0" xfId="1">
      <alignment horizontal="right" vertical="center"/>
    </xf>
    <xf numFmtId="0" fontId="9" fillId="2" borderId="11" applyAlignment="1" pivotButton="0" quotePrefix="0" xfId="1">
      <alignment horizontal="left" vertical="center" wrapText="1"/>
    </xf>
    <xf numFmtId="0" fontId="3" fillId="6" borderId="66" applyAlignment="1" pivotButton="0" quotePrefix="0" xfId="1">
      <alignment vertical="center"/>
    </xf>
    <xf numFmtId="0" fontId="3" fillId="4" borderId="67" applyAlignment="1" pivotButton="0" quotePrefix="0" xfId="1">
      <alignment vertical="center"/>
    </xf>
    <xf numFmtId="0" fontId="9" fillId="6" borderId="2" applyAlignment="1" pivotButton="0" quotePrefix="0" xfId="1">
      <alignment horizontal="right" vertical="center"/>
    </xf>
    <xf numFmtId="0" fontId="9" fillId="2" borderId="6" applyAlignment="1" pivotButton="0" quotePrefix="0" xfId="1">
      <alignment vertical="center" wrapText="1" shrinkToFit="1"/>
    </xf>
    <xf numFmtId="0" fontId="9" fillId="2" borderId="2" applyAlignment="1" pivotButton="0" quotePrefix="0" xfId="1">
      <alignment vertical="center"/>
    </xf>
    <xf numFmtId="0" fontId="8" fillId="9" borderId="2" applyAlignment="1" pivotButton="0" quotePrefix="0" xfId="1">
      <alignment horizontal="center" vertical="center"/>
    </xf>
    <xf numFmtId="0" fontId="17" fillId="6" borderId="6" applyAlignment="1" pivotButton="0" quotePrefix="0" xfId="1">
      <alignment vertical="center" wrapText="1" shrinkToFit="1"/>
    </xf>
    <xf numFmtId="0" fontId="9" fillId="6" borderId="6" applyAlignment="1" pivotButton="0" quotePrefix="0" xfId="1">
      <alignment horizontal="right" vertical="center"/>
    </xf>
    <xf numFmtId="0" fontId="11" fillId="6" borderId="11" applyAlignment="1" pivotButton="0" quotePrefix="0" xfId="1">
      <alignment horizontal="left" vertical="center" wrapText="1" shrinkToFit="1"/>
    </xf>
    <xf numFmtId="0" fontId="9" fillId="9" borderId="2" applyAlignment="1" pivotButton="0" quotePrefix="0" xfId="1">
      <alignment horizontal="left" vertical="center" wrapText="1"/>
    </xf>
    <xf numFmtId="0" fontId="9" fillId="6" borderId="6" applyAlignment="1" pivotButton="0" quotePrefix="0" xfId="1">
      <alignment vertical="center" shrinkToFit="1"/>
    </xf>
    <xf numFmtId="0" fontId="9" fillId="2" borderId="2" applyAlignment="1" pivotButton="0" quotePrefix="0" xfId="1">
      <alignment vertical="center" shrinkToFit="1"/>
    </xf>
    <xf numFmtId="0" fontId="26" fillId="6" borderId="11" applyAlignment="1" pivotButton="0" quotePrefix="0" xfId="1">
      <alignment horizontal="left" vertical="center" wrapText="1" shrinkToFit="1"/>
    </xf>
    <xf numFmtId="0" fontId="17" fillId="2" borderId="6" applyAlignment="1" pivotButton="0" quotePrefix="0" xfId="1">
      <alignment horizontal="left" vertical="center" wrapText="1"/>
    </xf>
    <xf numFmtId="0" fontId="8" fillId="6" borderId="6" applyAlignment="1" pivotButton="0" quotePrefix="0" xfId="1">
      <alignment horizontal="left" vertical="center" shrinkToFit="1"/>
    </xf>
    <xf numFmtId="0" fontId="21" fillId="6" borderId="0" applyAlignment="1" pivotButton="0" quotePrefix="0" xfId="1">
      <alignment horizontal="left" vertical="center"/>
    </xf>
    <xf numFmtId="0" fontId="8" fillId="6" borderId="6" applyAlignment="1" pivotButton="0" quotePrefix="0" xfId="1">
      <alignment vertical="center" wrapText="1"/>
    </xf>
    <xf numFmtId="0" fontId="8" fillId="7" borderId="11" applyAlignment="1" pivotButton="0" quotePrefix="0" xfId="1">
      <alignment horizontal="left" vertical="center" shrinkToFit="1"/>
    </xf>
    <xf numFmtId="0" fontId="3" fillId="4" borderId="25" applyAlignment="1" pivotButton="0" quotePrefix="0" xfId="1">
      <alignment vertical="center"/>
    </xf>
    <xf numFmtId="0" fontId="9" fillId="2" borderId="11" applyAlignment="1" pivotButton="0" quotePrefix="0" xfId="1">
      <alignment vertical="center" wrapText="1"/>
    </xf>
    <xf numFmtId="0" fontId="8" fillId="9" borderId="11" applyAlignment="1" pivotButton="0" quotePrefix="0" xfId="1">
      <alignment horizontal="left" vertical="center" shrinkToFit="1"/>
    </xf>
    <xf numFmtId="0" fontId="3" fillId="6" borderId="67" applyAlignment="1" pivotButton="0" quotePrefix="0" xfId="1">
      <alignment vertical="center"/>
    </xf>
    <xf numFmtId="0" fontId="3" fillId="4" borderId="68" applyAlignment="1" pivotButton="0" quotePrefix="0" xfId="1">
      <alignment vertical="center"/>
    </xf>
    <xf numFmtId="0" fontId="21" fillId="6" borderId="2" applyAlignment="1" pivotButton="0" quotePrefix="0" xfId="1">
      <alignment vertical="center" wrapText="1"/>
    </xf>
    <xf numFmtId="0" fontId="8" fillId="2" borderId="36" applyAlignment="1" pivotButton="0" quotePrefix="0" xfId="1">
      <alignment horizontal="center" vertical="center" shrinkToFit="1"/>
    </xf>
    <xf numFmtId="0" fontId="8" fillId="9" borderId="11" applyAlignment="1" pivotButton="0" quotePrefix="0" xfId="1">
      <alignment horizontal="center" vertical="center" shrinkToFit="1"/>
    </xf>
    <xf numFmtId="0" fontId="8" fillId="9" borderId="11" applyAlignment="1" pivotButton="0" quotePrefix="0" xfId="1">
      <alignment horizontal="center" vertical="center"/>
    </xf>
    <xf numFmtId="0" fontId="8" fillId="6" borderId="37" applyAlignment="1" pivotButton="0" quotePrefix="0" xfId="1">
      <alignment horizontal="center" vertical="center" shrinkToFit="1"/>
    </xf>
    <xf numFmtId="0" fontId="8" fillId="6" borderId="16" applyAlignment="1" pivotButton="0" quotePrefix="0" xfId="1">
      <alignment vertical="center"/>
    </xf>
    <xf numFmtId="0" fontId="8" fillId="9" borderId="18" applyAlignment="1" pivotButton="0" quotePrefix="0" xfId="1">
      <alignment horizontal="center" vertical="center" shrinkToFit="1"/>
    </xf>
    <xf numFmtId="0" fontId="8" fillId="9" borderId="36" applyAlignment="1" pivotButton="0" quotePrefix="0" xfId="1">
      <alignment horizontal="center" vertical="center"/>
    </xf>
    <xf numFmtId="0" fontId="9" fillId="6" borderId="38" applyAlignment="1" pivotButton="0" quotePrefix="0" xfId="1">
      <alignment horizontal="center" vertical="center"/>
    </xf>
    <xf numFmtId="0" fontId="9" fillId="6" borderId="16" applyAlignment="1" pivotButton="0" quotePrefix="0" xfId="1">
      <alignment horizontal="center" vertical="center"/>
    </xf>
    <xf numFmtId="0" fontId="9" fillId="6" borderId="37" applyAlignment="1" pivotButton="0" quotePrefix="0" xfId="1">
      <alignment horizontal="center" vertical="center"/>
    </xf>
    <xf numFmtId="0" fontId="8" fillId="6" borderId="37" applyAlignment="1" pivotButton="0" quotePrefix="0" xfId="1">
      <alignment horizontal="center" vertical="center"/>
    </xf>
    <xf numFmtId="0" fontId="8" fillId="6" borderId="16" applyAlignment="1" pivotButton="0" quotePrefix="0" xfId="1">
      <alignment horizontal="left" vertical="center"/>
    </xf>
    <xf numFmtId="0" fontId="8" fillId="6" borderId="15" applyAlignment="1" pivotButton="0" quotePrefix="0" xfId="1">
      <alignment horizontal="center" vertical="center"/>
    </xf>
    <xf numFmtId="0" fontId="8" fillId="6" borderId="36" applyAlignment="1" pivotButton="0" quotePrefix="0" xfId="1">
      <alignment horizontal="center" vertical="center" shrinkToFit="1"/>
    </xf>
    <xf numFmtId="0" fontId="9" fillId="9" borderId="36" applyAlignment="1" pivotButton="0" quotePrefix="0" xfId="1">
      <alignment horizontal="right" vertical="center"/>
    </xf>
    <xf numFmtId="0" fontId="9" fillId="2" borderId="8" applyAlignment="1" pivotButton="0" quotePrefix="0" xfId="1">
      <alignment vertical="center" shrinkToFit="1"/>
    </xf>
    <xf numFmtId="0" fontId="8" fillId="6" borderId="39" applyAlignment="1" pivotButton="0" quotePrefix="0" xfId="1">
      <alignment vertical="center"/>
    </xf>
    <xf numFmtId="0" fontId="8" fillId="6" borderId="40" applyAlignment="1" pivotButton="0" quotePrefix="0" xfId="1">
      <alignment vertical="center"/>
    </xf>
    <xf numFmtId="0" fontId="8" fillId="9" borderId="8" applyAlignment="1" pivotButton="0" quotePrefix="0" xfId="1">
      <alignment horizontal="center" vertical="center" shrinkToFit="1"/>
    </xf>
    <xf numFmtId="0" fontId="9" fillId="6" borderId="41" applyAlignment="1" pivotButton="0" quotePrefix="0" xfId="1">
      <alignment horizontal="center" vertical="center"/>
    </xf>
    <xf numFmtId="0" fontId="9" fillId="6" borderId="19" applyAlignment="1" pivotButton="0" quotePrefix="0" xfId="1">
      <alignment horizontal="left" vertical="center"/>
    </xf>
    <xf numFmtId="0" fontId="8" fillId="9" borderId="38" applyAlignment="1" pivotButton="0" quotePrefix="0" xfId="1">
      <alignment horizontal="center" vertical="center"/>
    </xf>
    <xf numFmtId="0" fontId="8" fillId="9" borderId="15" applyAlignment="1" pivotButton="0" quotePrefix="0" xfId="1">
      <alignment horizontal="center" vertical="center"/>
    </xf>
    <xf numFmtId="0" fontId="9" fillId="9" borderId="37" applyAlignment="1" pivotButton="0" quotePrefix="0" xfId="1">
      <alignment horizontal="left" vertical="center"/>
    </xf>
    <xf numFmtId="0" fontId="8" fillId="6" borderId="70" applyAlignment="1" pivotButton="0" quotePrefix="0" xfId="1">
      <alignment horizontal="center" vertical="center"/>
    </xf>
    <xf numFmtId="0" fontId="8" fillId="6" borderId="71" applyAlignment="1" pivotButton="0" quotePrefix="0" xfId="1">
      <alignment horizontal="center" vertical="center"/>
    </xf>
    <xf numFmtId="0" fontId="9" fillId="6" borderId="72" applyAlignment="1" pivotButton="0" quotePrefix="0" xfId="1">
      <alignment horizontal="left" vertical="top" wrapText="1"/>
    </xf>
    <xf numFmtId="0" fontId="8" fillId="2" borderId="38" applyAlignment="1" pivotButton="0" quotePrefix="0" xfId="1">
      <alignment horizontal="center" vertical="center" shrinkToFit="1"/>
    </xf>
    <xf numFmtId="0" fontId="8" fillId="2" borderId="16" applyAlignment="1" pivotButton="0" quotePrefix="0" xfId="1">
      <alignment horizontal="center" vertical="center" shrinkToFit="1"/>
    </xf>
    <xf numFmtId="0" fontId="8" fillId="2" borderId="42" applyAlignment="1" pivotButton="0" quotePrefix="0" xfId="1">
      <alignment horizontal="left" vertical="center" shrinkToFit="1"/>
    </xf>
    <xf numFmtId="0" fontId="8" fillId="6" borderId="19" applyAlignment="1" pivotButton="0" quotePrefix="0" xfId="1">
      <alignment horizontal="center" vertical="center" shrinkToFit="1"/>
    </xf>
    <xf numFmtId="0" fontId="9" fillId="6" borderId="43" applyAlignment="1" pivotButton="0" quotePrefix="0" xfId="1">
      <alignment horizontal="left" vertical="top" wrapText="1"/>
    </xf>
    <xf numFmtId="0" fontId="8" fillId="6" borderId="19" applyAlignment="1" pivotButton="0" quotePrefix="0" xfId="1">
      <alignment vertical="center"/>
    </xf>
    <xf numFmtId="0" fontId="8" fillId="9" borderId="37" applyAlignment="1" pivotButton="0" quotePrefix="0" xfId="1">
      <alignment horizontal="center" vertical="center"/>
    </xf>
    <xf numFmtId="0" fontId="9" fillId="9" borderId="37" applyAlignment="1" pivotButton="0" quotePrefix="0" xfId="1">
      <alignment horizontal="right" vertical="center"/>
    </xf>
    <xf numFmtId="0" fontId="8" fillId="6" borderId="41" applyAlignment="1" pivotButton="0" quotePrefix="0" xfId="1">
      <alignment vertical="center"/>
    </xf>
    <xf numFmtId="0" fontId="9" fillId="6" borderId="19" applyAlignment="1" pivotButton="0" quotePrefix="0" xfId="1">
      <alignment horizontal="left" vertical="top" wrapText="1"/>
    </xf>
    <xf numFmtId="0" fontId="8" fillId="6" borderId="46" applyAlignment="1" pivotButton="0" quotePrefix="0" xfId="1">
      <alignment vertical="center"/>
    </xf>
    <xf numFmtId="0" fontId="8" fillId="9" borderId="16" applyAlignment="1" pivotButton="0" quotePrefix="0" xfId="1">
      <alignment horizontal="center" vertical="center"/>
    </xf>
    <xf numFmtId="0" fontId="8" fillId="9" borderId="42" applyAlignment="1" pivotButton="0" quotePrefix="0" xfId="1">
      <alignment horizontal="left" vertical="center"/>
    </xf>
    <xf numFmtId="0" fontId="10" fillId="6" borderId="0" applyAlignment="1" pivotButton="0" quotePrefix="0" xfId="1">
      <alignment vertical="center"/>
    </xf>
    <xf numFmtId="0" fontId="3" fillId="6" borderId="0" applyAlignment="1" pivotButton="0" quotePrefix="0" xfId="1">
      <alignment horizontal="left" vertical="center"/>
    </xf>
    <xf numFmtId="0" fontId="7" fillId="6" borderId="0" applyAlignment="1" pivotButton="0" quotePrefix="0" xfId="1">
      <alignment horizontal="left" vertical="center"/>
    </xf>
    <xf numFmtId="0" fontId="3" fillId="6" borderId="0" applyAlignment="1" pivotButton="0" quotePrefix="0" xfId="1">
      <alignment horizontal="right" vertical="center"/>
    </xf>
    <xf numFmtId="0" fontId="3" fillId="6" borderId="0" applyAlignment="1" pivotButton="0" quotePrefix="1" xfId="1">
      <alignment horizontal="right" vertical="center"/>
    </xf>
    <xf numFmtId="14" fontId="6" fillId="6" borderId="0" applyAlignment="1" pivotButton="0" quotePrefix="0" xfId="1">
      <alignment horizontal="right" vertical="center"/>
    </xf>
    <xf numFmtId="0" fontId="9" fillId="9" borderId="4" applyAlignment="1" pivotButton="0" quotePrefix="0" xfId="1">
      <alignment horizontal="center" vertical="center"/>
    </xf>
    <xf numFmtId="0" fontId="8" fillId="6" borderId="58" applyAlignment="1" pivotButton="0" quotePrefix="0" xfId="1">
      <alignment horizontal="center" vertical="center"/>
    </xf>
    <xf numFmtId="0" fontId="9" fillId="9" borderId="6" applyAlignment="1" pivotButton="0" quotePrefix="0" xfId="1">
      <alignment horizontal="center" vertical="center"/>
    </xf>
    <xf numFmtId="0" fontId="21" fillId="6" borderId="7" applyAlignment="1" pivotButton="0" quotePrefix="0" xfId="1">
      <alignment horizontal="left" vertical="center" wrapText="1"/>
    </xf>
    <xf numFmtId="0" fontId="8" fillId="2" borderId="58" applyAlignment="1" pivotButton="0" quotePrefix="0" xfId="1">
      <alignment horizontal="center" vertical="center"/>
    </xf>
    <xf numFmtId="0" fontId="8" fillId="2" borderId="9" applyAlignment="1" pivotButton="0" quotePrefix="0" xfId="1">
      <alignment horizontal="center" vertical="center"/>
    </xf>
    <xf numFmtId="0" fontId="9" fillId="6" borderId="6" applyAlignment="1" pivotButton="0" quotePrefix="0" xfId="1">
      <alignment horizontal="center" vertical="center"/>
    </xf>
    <xf numFmtId="0" fontId="8" fillId="6" borderId="19" applyAlignment="1" pivotButton="0" quotePrefix="0" xfId="1">
      <alignment horizontal="center" vertical="center"/>
    </xf>
    <xf numFmtId="0" fontId="9" fillId="2" borderId="2" applyAlignment="1" pivotButton="0" quotePrefix="0" xfId="1">
      <alignment horizontal="right" vertical="center"/>
    </xf>
    <xf numFmtId="0" fontId="8" fillId="6" borderId="58" applyAlignment="1" pivotButton="0" quotePrefix="0" xfId="1">
      <alignment horizontal="center" vertical="center" shrinkToFit="1"/>
    </xf>
    <xf numFmtId="0" fontId="8" fillId="2" borderId="11" applyAlignment="1" pivotButton="0" quotePrefix="0" xfId="1">
      <alignment horizontal="left" vertical="center" shrinkToFit="1"/>
    </xf>
    <xf numFmtId="0" fontId="27" fillId="6" borderId="77" applyAlignment="1" pivotButton="0" quotePrefix="0" xfId="1">
      <alignment horizontal="left" vertical="center" wrapText="1"/>
    </xf>
    <xf numFmtId="0" fontId="8" fillId="6" borderId="38" applyAlignment="1" pivotButton="0" quotePrefix="0" xfId="1">
      <alignment horizontal="center" vertical="center"/>
    </xf>
    <xf numFmtId="0" fontId="33" fillId="6" borderId="0" applyAlignment="1" pivotButton="0" quotePrefix="0" xfId="1">
      <alignment vertical="center"/>
    </xf>
    <xf numFmtId="0" fontId="17" fillId="2" borderId="4" applyAlignment="1" pivotButton="0" quotePrefix="0" xfId="1">
      <alignment horizontal="right" vertical="center" wrapText="1"/>
    </xf>
    <xf numFmtId="0" fontId="8" fillId="6" borderId="4" applyAlignment="1" pivotButton="0" quotePrefix="0" xfId="1">
      <alignment horizontal="center" vertical="center"/>
    </xf>
    <xf numFmtId="0" fontId="34" fillId="6" borderId="4" applyAlignment="1" pivotButton="0" quotePrefix="0" xfId="1">
      <alignment vertical="center"/>
    </xf>
    <xf numFmtId="0" fontId="3" fillId="6" borderId="84" applyAlignment="1" pivotButton="0" quotePrefix="0" xfId="1">
      <alignment vertical="center"/>
    </xf>
    <xf numFmtId="0" fontId="9" fillId="9" borderId="2" applyAlignment="1" pivotButton="0" quotePrefix="0" xfId="1">
      <alignment horizontal="right" vertical="center"/>
    </xf>
    <xf numFmtId="0" fontId="9" fillId="6" borderId="11" applyAlignment="1" pivotButton="0" quotePrefix="0" xfId="1">
      <alignment vertical="center" wrapText="1"/>
    </xf>
    <xf numFmtId="0" fontId="9" fillId="9" borderId="2" applyAlignment="1" pivotButton="0" quotePrefix="0" xfId="1">
      <alignment vertical="center"/>
    </xf>
    <xf numFmtId="0" fontId="21" fillId="6" borderId="6" applyAlignment="1" pivotButton="0" quotePrefix="0" xfId="1">
      <alignment horizontal="right" vertical="center" wrapText="1"/>
    </xf>
    <xf numFmtId="0" fontId="11" fillId="6" borderId="2" applyAlignment="1" pivotButton="0" quotePrefix="0" xfId="1">
      <alignment horizontal="left" vertical="center" wrapText="1"/>
    </xf>
    <xf numFmtId="0" fontId="35" fillId="6" borderId="11" applyAlignment="1" pivotButton="0" quotePrefix="0" xfId="1">
      <alignment vertical="center" wrapText="1"/>
    </xf>
    <xf numFmtId="0" fontId="35" fillId="6" borderId="6" applyAlignment="1" pivotButton="0" quotePrefix="0" xfId="1">
      <alignment horizontal="left" vertical="center" wrapText="1"/>
    </xf>
    <xf numFmtId="0" fontId="8" fillId="2" borderId="6" applyAlignment="1" pivotButton="0" quotePrefix="0" xfId="1">
      <alignment horizontal="left" vertical="center" wrapText="1"/>
    </xf>
    <xf numFmtId="0" fontId="9" fillId="6" borderId="7" applyAlignment="1" pivotButton="0" quotePrefix="0" xfId="1">
      <alignment horizontal="center" vertical="center"/>
    </xf>
    <xf numFmtId="0" fontId="34" fillId="6" borderId="6" applyAlignment="1" pivotButton="0" quotePrefix="0" xfId="1">
      <alignment horizontal="left" vertical="center" wrapText="1"/>
    </xf>
    <xf numFmtId="0" fontId="24" fillId="2" borderId="6" applyAlignment="1" pivotButton="0" quotePrefix="0" xfId="1">
      <alignment horizontal="left" vertical="center"/>
    </xf>
    <xf numFmtId="0" fontId="34" fillId="6" borderId="6" applyAlignment="1" pivotButton="0" quotePrefix="0" xfId="1">
      <alignment horizontal="left" vertical="center"/>
    </xf>
    <xf numFmtId="0" fontId="35" fillId="6" borderId="11" applyAlignment="1" pivotButton="0" quotePrefix="0" xfId="1">
      <alignment vertical="center"/>
    </xf>
    <xf numFmtId="0" fontId="8" fillId="2" borderId="2" applyAlignment="1" pivotButton="0" quotePrefix="0" xfId="1">
      <alignment horizontal="left" vertical="center" wrapText="1"/>
    </xf>
    <xf numFmtId="0" fontId="21" fillId="2" borderId="2" applyAlignment="1" pivotButton="0" quotePrefix="0" xfId="1">
      <alignment horizontal="right" vertical="center"/>
    </xf>
    <xf numFmtId="0" fontId="36" fillId="6" borderId="11" applyAlignment="1" pivotButton="0" quotePrefix="0" xfId="1">
      <alignment horizontal="left" vertical="top" wrapText="1"/>
    </xf>
    <xf numFmtId="0" fontId="9" fillId="6" borderId="6" applyAlignment="1" pivotButton="0" quotePrefix="0" xfId="1">
      <alignment horizontal="center" vertical="center" shrinkToFit="1"/>
    </xf>
    <xf numFmtId="0" fontId="17" fillId="6" borderId="2" applyAlignment="1" pivotButton="0" quotePrefix="0" xfId="1">
      <alignment vertical="center" wrapText="1"/>
    </xf>
    <xf numFmtId="0" fontId="11" fillId="2" borderId="11" applyAlignment="1" pivotButton="0" quotePrefix="0" xfId="1">
      <alignment horizontal="left" vertical="center"/>
    </xf>
    <xf numFmtId="0" fontId="9" fillId="6" borderId="6" applyAlignment="1" pivotButton="0" quotePrefix="0" xfId="1">
      <alignment vertical="center"/>
    </xf>
    <xf numFmtId="0" fontId="35" fillId="6" borderId="11" applyAlignment="1" pivotButton="0" quotePrefix="0" xfId="1">
      <alignment horizontal="left" vertical="center"/>
    </xf>
    <xf numFmtId="0" fontId="34" fillId="6" borderId="11" applyAlignment="1" pivotButton="0" quotePrefix="0" xfId="1">
      <alignment vertical="center" wrapText="1"/>
    </xf>
    <xf numFmtId="0" fontId="3" fillId="10" borderId="6" applyAlignment="1" pivotButton="0" quotePrefix="0" xfId="1">
      <alignment vertical="center"/>
    </xf>
    <xf numFmtId="0" fontId="11" fillId="2" borderId="6" applyAlignment="1" pivotButton="0" quotePrefix="0" xfId="1">
      <alignment horizontal="left" vertical="center"/>
    </xf>
    <xf numFmtId="0" fontId="35" fillId="6" borderId="2" applyAlignment="1" pivotButton="0" quotePrefix="0" xfId="1">
      <alignment horizontal="left" vertical="center" wrapText="1"/>
    </xf>
    <xf numFmtId="0" fontId="8" fillId="2" borderId="11" applyAlignment="1" pivotButton="0" quotePrefix="0" xfId="1">
      <alignment horizontal="right" vertical="center"/>
    </xf>
    <xf numFmtId="0" fontId="9" fillId="6" borderId="2" applyAlignment="1" pivotButton="0" quotePrefix="0" xfId="1">
      <alignment horizontal="left" vertical="center" wrapText="1" shrinkToFit="1"/>
    </xf>
    <xf numFmtId="0" fontId="3" fillId="9" borderId="2" applyAlignment="1" pivotButton="0" quotePrefix="0" xfId="1">
      <alignment vertical="center"/>
    </xf>
    <xf numFmtId="0" fontId="9" fillId="2" borderId="2" applyAlignment="1" pivotButton="0" quotePrefix="0" xfId="1">
      <alignment horizontal="left" vertical="center" shrinkToFit="1"/>
    </xf>
    <xf numFmtId="0" fontId="8" fillId="9" borderId="6" applyAlignment="1" pivotButton="0" quotePrefix="0" xfId="1">
      <alignment horizontal="left" vertical="center" shrinkToFit="1"/>
    </xf>
    <xf numFmtId="0" fontId="8" fillId="9" borderId="58" applyAlignment="1" pivotButton="0" quotePrefix="0" xfId="1">
      <alignment horizontal="center" vertical="center"/>
    </xf>
    <xf numFmtId="0" fontId="3" fillId="6" borderId="11" applyAlignment="1" pivotButton="0" quotePrefix="0" xfId="1">
      <alignment vertical="center"/>
    </xf>
    <xf numFmtId="0" fontId="38" fillId="6" borderId="69" applyAlignment="1" pivotButton="0" quotePrefix="0" xfId="1">
      <alignment horizontal="left" vertical="center"/>
    </xf>
    <xf numFmtId="0" fontId="8" fillId="9" borderId="58" applyAlignment="1" pivotButton="0" quotePrefix="0" xfId="1">
      <alignment horizontal="center" vertical="center" shrinkToFit="1"/>
    </xf>
    <xf numFmtId="0" fontId="8" fillId="2" borderId="6" applyAlignment="1" pivotButton="0" quotePrefix="0" xfId="1">
      <alignment vertical="center"/>
    </xf>
    <xf numFmtId="0" fontId="35" fillId="6" borderId="11" applyAlignment="1" pivotButton="0" quotePrefix="0" xfId="1">
      <alignment horizontal="left" vertical="center" wrapText="1"/>
    </xf>
    <xf numFmtId="0" fontId="9" fillId="2" borderId="6" applyAlignment="1" pivotButton="0" quotePrefix="0" xfId="1">
      <alignment horizontal="right" vertical="center" wrapText="1"/>
    </xf>
    <xf numFmtId="0" fontId="17" fillId="6" borderId="37" applyAlignment="1" pivotButton="0" quotePrefix="0" xfId="1">
      <alignment vertical="center" wrapText="1"/>
    </xf>
    <xf numFmtId="0" fontId="8" fillId="6" borderId="17" applyAlignment="1" pivotButton="0" quotePrefix="0" xfId="1">
      <alignment horizontal="center" vertical="center"/>
    </xf>
    <xf numFmtId="0" fontId="8" fillId="6" borderId="85" applyAlignment="1" pivotButton="0" quotePrefix="0" xfId="1">
      <alignment horizontal="center" vertical="center"/>
    </xf>
    <xf numFmtId="0" fontId="8" fillId="2" borderId="18" applyAlignment="1" pivotButton="0" quotePrefix="0" xfId="1">
      <alignment horizontal="center" vertical="center"/>
    </xf>
    <xf numFmtId="0" fontId="8" fillId="2" borderId="6" applyAlignment="1" pivotButton="0" quotePrefix="0" xfId="1">
      <alignment vertical="center" wrapText="1"/>
    </xf>
    <xf numFmtId="0" fontId="8" fillId="6" borderId="37" applyAlignment="1" pivotButton="0" quotePrefix="0" xfId="1">
      <alignment horizontal="left" vertical="center"/>
    </xf>
    <xf numFmtId="0" fontId="21" fillId="6" borderId="42" applyAlignment="1" pivotButton="0" quotePrefix="0" xfId="1">
      <alignment horizontal="left" vertical="center" wrapText="1"/>
    </xf>
    <xf numFmtId="0" fontId="8" fillId="9" borderId="12" applyAlignment="1" pivotButton="0" quotePrefix="0" xfId="1">
      <alignment horizontal="center" vertical="center"/>
    </xf>
    <xf numFmtId="0" fontId="8" fillId="6" borderId="18" applyAlignment="1" pivotButton="0" quotePrefix="0" xfId="1">
      <alignment horizontal="center" vertical="center" shrinkToFit="1"/>
    </xf>
    <xf numFmtId="0" fontId="9" fillId="6" borderId="45" applyAlignment="1" pivotButton="0" quotePrefix="0" xfId="1">
      <alignment horizontal="left" vertical="center" wrapText="1" shrinkToFit="1"/>
    </xf>
    <xf numFmtId="0" fontId="7" fillId="6" borderId="73" applyAlignment="1" pivotButton="0" quotePrefix="0" xfId="1">
      <alignment vertical="center" wrapText="1"/>
    </xf>
    <xf numFmtId="0" fontId="41" fillId="6" borderId="0" applyAlignment="1" pivotButton="0" quotePrefix="0" xfId="1">
      <alignment vertical="center"/>
    </xf>
    <xf numFmtId="0" fontId="41" fillId="6" borderId="0" applyAlignment="1" pivotButton="0" quotePrefix="1" xfId="1">
      <alignment horizontal="right" vertical="center"/>
    </xf>
    <xf numFmtId="14" fontId="42" fillId="6" borderId="0" applyAlignment="1" pivotButton="0" quotePrefix="0" xfId="1">
      <alignment vertical="center"/>
    </xf>
    <xf numFmtId="20" fontId="3" fillId="6" borderId="0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0" fontId="24" fillId="3" borderId="60" applyAlignment="1" pivotButton="0" quotePrefix="0" xfId="1">
      <alignment horizontal="left" vertical="center" shrinkToFit="1"/>
    </xf>
    <xf numFmtId="0" fontId="43" fillId="5" borderId="60" applyAlignment="1" pivotButton="0" quotePrefix="0" xfId="0">
      <alignment vertical="center"/>
    </xf>
    <xf numFmtId="0" fontId="9" fillId="6" borderId="51" applyAlignment="1" pivotButton="0" quotePrefix="0" xfId="1">
      <alignment vertical="top" wrapText="1"/>
    </xf>
    <xf numFmtId="0" fontId="8" fillId="6" borderId="0" applyAlignment="1" pivotButton="0" quotePrefix="0" xfId="1">
      <alignment horizontal="center" vertical="center"/>
    </xf>
    <xf numFmtId="0" fontId="9" fillId="6" borderId="19" applyAlignment="1" pivotButton="0" quotePrefix="0" xfId="1">
      <alignment horizontal="center" vertical="center"/>
    </xf>
    <xf numFmtId="0" fontId="29" fillId="6" borderId="0" applyAlignment="1" pivotButton="0" quotePrefix="0" xfId="1">
      <alignment horizontal="left" vertical="center"/>
    </xf>
    <xf numFmtId="0" fontId="4" fillId="6" borderId="0" applyAlignment="1" pivotButton="0" quotePrefix="0" xfId="1">
      <alignment horizontal="left" vertical="center"/>
    </xf>
    <xf numFmtId="0" fontId="2" fillId="0" borderId="13" pivotButton="0" quotePrefix="0" xfId="1"/>
    <xf numFmtId="0" fontId="31" fillId="6" borderId="0" applyAlignment="1" pivotButton="0" quotePrefix="0" xfId="1">
      <alignment horizontal="left" vertical="center"/>
    </xf>
    <xf numFmtId="0" fontId="8" fillId="0" borderId="9" applyAlignment="1" pivotButton="0" quotePrefix="0" xfId="1">
      <alignment horizontal="center" vertical="center" shrinkToFit="1"/>
    </xf>
    <xf numFmtId="0" fontId="8" fillId="0" borderId="10" applyAlignment="1" pivotButton="0" quotePrefix="0" xfId="1">
      <alignment horizontal="center" vertical="center" shrinkToFit="1"/>
    </xf>
    <xf numFmtId="0" fontId="8" fillId="0" borderId="6" applyAlignment="1" pivotButton="0" quotePrefix="0" xfId="1">
      <alignment horizontal="center" vertical="center" shrinkToFit="1"/>
    </xf>
    <xf numFmtId="0" fontId="8" fillId="0" borderId="6" applyAlignment="1" pivotButton="0" quotePrefix="0" xfId="1">
      <alignment horizontal="right" vertical="center"/>
    </xf>
    <xf numFmtId="0" fontId="16" fillId="6" borderId="6" applyAlignment="1" pivotButton="0" quotePrefix="1" xfId="1">
      <alignment horizontal="left" vertical="center" wrapText="1"/>
    </xf>
    <xf numFmtId="0" fontId="8" fillId="6" borderId="0" applyAlignment="1" pivotButton="0" quotePrefix="0" xfId="1">
      <alignment vertical="center"/>
    </xf>
    <xf numFmtId="0" fontId="7" fillId="6" borderId="0" applyAlignment="1" pivotButton="0" quotePrefix="0" xfId="1">
      <alignment vertical="center" wrapText="1"/>
    </xf>
    <xf numFmtId="0" fontId="9" fillId="6" borderId="79" applyAlignment="1" pivotButton="0" quotePrefix="0" xfId="1">
      <alignment vertical="top" wrapText="1"/>
    </xf>
    <xf numFmtId="18" fontId="3" fillId="0" borderId="0" applyAlignment="1" pivotButton="0" quotePrefix="0" xfId="1">
      <alignment vertical="center"/>
    </xf>
    <xf numFmtId="0" fontId="44" fillId="0" borderId="0" applyAlignment="1" pivotButton="0" quotePrefix="0" xfId="1">
      <alignment vertical="center"/>
    </xf>
    <xf numFmtId="0" fontId="44" fillId="0" borderId="0" applyAlignment="1" pivotButton="0" quotePrefix="0" xfId="1">
      <alignment horizontal="left" vertical="center"/>
    </xf>
    <xf numFmtId="0" fontId="24" fillId="0" borderId="6" applyAlignment="1" pivotButton="0" quotePrefix="0" xfId="1">
      <alignment horizontal="left" vertical="center"/>
    </xf>
    <xf numFmtId="0" fontId="45" fillId="0" borderId="6" applyAlignment="1" pivotButton="0" quotePrefix="0" xfId="1">
      <alignment horizontal="center" vertical="center" shrinkToFit="1"/>
    </xf>
    <xf numFmtId="0" fontId="45" fillId="11" borderId="6" applyAlignment="1" pivotButton="0" quotePrefix="0" xfId="1">
      <alignment horizontal="center" vertical="center" shrinkToFit="1"/>
    </xf>
    <xf numFmtId="0" fontId="24" fillId="0" borderId="6" applyAlignment="1" pivotButton="0" quotePrefix="0" xfId="1">
      <alignment horizontal="left" vertical="center" wrapText="1"/>
    </xf>
    <xf numFmtId="0" fontId="24" fillId="11" borderId="6" applyAlignment="1" pivotButton="0" quotePrefix="0" xfId="1">
      <alignment horizontal="left" vertical="center"/>
    </xf>
    <xf numFmtId="0" fontId="24" fillId="11" borderId="6" applyAlignment="1" pivotButton="0" quotePrefix="0" xfId="1">
      <alignment horizontal="center" vertical="center" shrinkToFit="1"/>
    </xf>
    <xf numFmtId="0" fontId="24" fillId="0" borderId="6" applyAlignment="1" pivotButton="0" quotePrefix="0" xfId="1">
      <alignment horizontal="center" vertical="center" shrinkToFit="1"/>
    </xf>
    <xf numFmtId="0" fontId="24" fillId="11" borderId="6" applyAlignment="1" pivotButton="0" quotePrefix="0" xfId="1">
      <alignment horizontal="left" vertical="center" wrapText="1"/>
    </xf>
    <xf numFmtId="0" fontId="42" fillId="0" borderId="6" applyAlignment="1" pivotButton="0" quotePrefix="0" xfId="1">
      <alignment horizontal="center" vertical="center" shrinkToFit="1"/>
    </xf>
    <xf numFmtId="0" fontId="42" fillId="11" borderId="6" applyAlignment="1" pivotButton="0" quotePrefix="0" xfId="1">
      <alignment horizontal="center" vertical="center" shrinkToFit="1"/>
    </xf>
    <xf numFmtId="0" fontId="45" fillId="11" borderId="6" applyAlignment="1" pivotButton="0" quotePrefix="0" xfId="1">
      <alignment horizontal="center" vertical="center"/>
    </xf>
    <xf numFmtId="0" fontId="45" fillId="0" borderId="6" applyAlignment="1" pivotButton="0" quotePrefix="0" xfId="1">
      <alignment horizontal="center" vertical="center"/>
    </xf>
    <xf numFmtId="0" fontId="42" fillId="11" borderId="6" applyAlignment="1" pivotButton="0" quotePrefix="0" xfId="1">
      <alignment horizontal="center" vertical="center"/>
    </xf>
    <xf numFmtId="0" fontId="42" fillId="0" borderId="6" applyAlignment="1" pivotButton="0" quotePrefix="0" xfId="1">
      <alignment horizontal="center" vertical="center"/>
    </xf>
    <xf numFmtId="0" fontId="9" fillId="6" borderId="0" applyAlignment="1" pivotButton="0" quotePrefix="0" xfId="1">
      <alignment vertical="top" wrapText="1"/>
    </xf>
    <xf numFmtId="0" fontId="46" fillId="12" borderId="34" applyAlignment="1" pivotButton="0" quotePrefix="0" xfId="0">
      <alignment horizontal="center" vertical="center"/>
    </xf>
    <xf numFmtId="0" fontId="46" fillId="12" borderId="4" applyAlignment="1" pivotButton="0" quotePrefix="0" xfId="0">
      <alignment horizontal="center" vertical="center"/>
    </xf>
    <xf numFmtId="0" fontId="46" fillId="12" borderId="35" applyAlignment="1" pivotButton="0" quotePrefix="0" xfId="0">
      <alignment horizontal="left" vertical="center"/>
    </xf>
    <xf numFmtId="0" fontId="46" fillId="0" borderId="32" applyAlignment="1" pivotButton="0" quotePrefix="0" xfId="0">
      <alignment horizontal="center" vertical="center"/>
    </xf>
    <xf numFmtId="0" fontId="46" fillId="0" borderId="6" applyAlignment="1" pivotButton="0" quotePrefix="0" xfId="0">
      <alignment horizontal="center" vertical="center"/>
    </xf>
    <xf numFmtId="0" fontId="46" fillId="0" borderId="25" applyAlignment="1" pivotButton="0" quotePrefix="0" xfId="0">
      <alignment horizontal="left" vertical="center"/>
    </xf>
    <xf numFmtId="0" fontId="46" fillId="12" borderId="32" applyAlignment="1" pivotButton="0" quotePrefix="0" xfId="0">
      <alignment horizontal="center" vertical="center"/>
    </xf>
    <xf numFmtId="0" fontId="46" fillId="12" borderId="6" applyAlignment="1" pivotButton="0" quotePrefix="0" xfId="0">
      <alignment horizontal="center" vertical="center"/>
    </xf>
    <xf numFmtId="0" fontId="46" fillId="12" borderId="25" applyAlignment="1" pivotButton="0" quotePrefix="0" xfId="0">
      <alignment horizontal="left" vertical="center"/>
    </xf>
    <xf numFmtId="0" fontId="46" fillId="0" borderId="25" applyAlignment="1" pivotButton="0" quotePrefix="0" xfId="0">
      <alignment horizontal="left" vertical="center" wrapText="1"/>
    </xf>
    <xf numFmtId="0" fontId="46" fillId="0" borderId="66" applyAlignment="1" pivotButton="0" quotePrefix="0" xfId="0">
      <alignment horizontal="center" vertical="center"/>
    </xf>
    <xf numFmtId="0" fontId="46" fillId="0" borderId="67" applyAlignment="1" pivotButton="0" quotePrefix="0" xfId="0">
      <alignment horizontal="center" vertical="center"/>
    </xf>
    <xf numFmtId="0" fontId="46" fillId="0" borderId="68" applyAlignment="1" pivotButton="0" quotePrefix="0" xfId="0">
      <alignment horizontal="left" vertical="center" wrapText="1"/>
    </xf>
    <xf numFmtId="0" fontId="46" fillId="12" borderId="25" applyAlignment="1" pivotButton="0" quotePrefix="0" xfId="0">
      <alignment horizontal="left" vertical="center" wrapText="1"/>
    </xf>
    <xf numFmtId="0" fontId="24" fillId="6" borderId="6" applyAlignment="1" pivotButton="0" quotePrefix="0" xfId="1">
      <alignment horizontal="left" vertical="center"/>
    </xf>
    <xf numFmtId="0" fontId="27" fillId="0" borderId="6" applyAlignment="1" pivotButton="0" quotePrefix="0" xfId="1">
      <alignment horizontal="left" vertical="center" wrapText="1"/>
    </xf>
    <xf numFmtId="0" fontId="27" fillId="0" borderId="6" applyAlignment="1" pivotButton="0" quotePrefix="0" xfId="1">
      <alignment horizontal="left" vertical="center"/>
    </xf>
    <xf numFmtId="0" fontId="45" fillId="6" borderId="6" applyAlignment="1" pivotButton="0" quotePrefix="0" xfId="1">
      <alignment horizontal="center" vertical="center" shrinkToFit="1"/>
    </xf>
    <xf numFmtId="0" fontId="45" fillId="6" borderId="6" applyAlignment="1" pivotButton="0" quotePrefix="0" xfId="1">
      <alignment horizontal="center" vertical="center"/>
    </xf>
    <xf numFmtId="0" fontId="42" fillId="11" borderId="6" applyAlignment="1" pivotButton="0" quotePrefix="0" xfId="1">
      <alignment horizontal="left" vertical="center"/>
    </xf>
    <xf numFmtId="0" fontId="42" fillId="0" borderId="6" applyAlignment="1" pivotButton="0" quotePrefix="0" xfId="1">
      <alignment horizontal="left" vertical="center"/>
    </xf>
    <xf numFmtId="0" fontId="42" fillId="0" borderId="6" applyAlignment="1" pivotButton="0" quotePrefix="0" xfId="1">
      <alignment horizontal="left" vertical="center" wrapText="1"/>
    </xf>
    <xf numFmtId="0" fontId="42" fillId="6" borderId="6" applyAlignment="1" pivotButton="0" quotePrefix="0" xfId="1">
      <alignment horizontal="left" vertical="center"/>
    </xf>
    <xf numFmtId="0" fontId="47" fillId="0" borderId="35" applyAlignment="1" pivotButton="0" quotePrefix="0" xfId="1">
      <alignment horizontal="left" vertical="center" wrapText="1"/>
    </xf>
    <xf numFmtId="0" fontId="47" fillId="0" borderId="25" applyAlignment="1" pivotButton="0" quotePrefix="0" xfId="1">
      <alignment horizontal="left" vertical="center" wrapText="1"/>
    </xf>
    <xf numFmtId="0" fontId="47" fillId="11" borderId="25" applyAlignment="1" pivotButton="0" quotePrefix="0" xfId="1">
      <alignment horizontal="left" vertical="center"/>
    </xf>
    <xf numFmtId="0" fontId="47" fillId="0" borderId="25" applyAlignment="1" pivotButton="0" quotePrefix="0" xfId="1">
      <alignment horizontal="left" vertical="center"/>
    </xf>
    <xf numFmtId="0" fontId="27" fillId="0" borderId="6" applyAlignment="1" pivotButton="0" quotePrefix="0" xfId="1">
      <alignment horizontal="center" vertical="center"/>
    </xf>
    <xf numFmtId="0" fontId="27" fillId="11" borderId="6" applyAlignment="1" pivotButton="0" quotePrefix="0" xfId="1">
      <alignment horizontal="center" vertical="center"/>
    </xf>
    <xf numFmtId="0" fontId="27" fillId="0" borderId="67" applyAlignment="1" pivotButton="0" quotePrefix="0" xfId="1">
      <alignment horizontal="center" vertical="center"/>
    </xf>
    <xf numFmtId="0" fontId="42" fillId="0" borderId="4" applyAlignment="1" pivotButton="0" quotePrefix="0" xfId="1">
      <alignment horizontal="center" vertical="center"/>
    </xf>
    <xf numFmtId="0" fontId="42" fillId="0" borderId="67" applyAlignment="1" pivotButton="0" quotePrefix="0" xfId="1">
      <alignment horizontal="center" vertical="center"/>
    </xf>
    <xf numFmtId="0" fontId="48" fillId="0" borderId="34" applyAlignment="1" pivotButton="0" quotePrefix="0" xfId="1">
      <alignment horizontal="center" vertical="center"/>
    </xf>
    <xf numFmtId="0" fontId="48" fillId="0" borderId="4" applyAlignment="1" pivotButton="0" quotePrefix="0" xfId="1">
      <alignment horizontal="center" vertical="center"/>
    </xf>
    <xf numFmtId="0" fontId="48" fillId="0" borderId="32" applyAlignment="1" pivotButton="0" quotePrefix="0" xfId="1">
      <alignment horizontal="center" vertical="center"/>
    </xf>
    <xf numFmtId="0" fontId="48" fillId="0" borderId="6" applyAlignment="1" pivotButton="0" quotePrefix="0" xfId="1">
      <alignment horizontal="center" vertical="center"/>
    </xf>
    <xf numFmtId="0" fontId="48" fillId="11" borderId="32" applyAlignment="1" pivotButton="0" quotePrefix="0" xfId="1">
      <alignment horizontal="center" vertical="center"/>
    </xf>
    <xf numFmtId="0" fontId="48" fillId="11" borderId="6" applyAlignment="1" pivotButton="0" quotePrefix="0" xfId="1">
      <alignment horizontal="center" vertical="center"/>
    </xf>
    <xf numFmtId="0" fontId="48" fillId="11" borderId="32" applyAlignment="1" pivotButton="0" quotePrefix="0" xfId="1">
      <alignment horizontal="center" vertical="center" shrinkToFit="1"/>
    </xf>
    <xf numFmtId="0" fontId="48" fillId="0" borderId="66" applyAlignment="1" pivotButton="0" quotePrefix="0" xfId="1">
      <alignment horizontal="center" vertical="center"/>
    </xf>
    <xf numFmtId="0" fontId="48" fillId="0" borderId="67" applyAlignment="1" pivotButton="0" quotePrefix="0" xfId="1">
      <alignment horizontal="center" vertical="center"/>
    </xf>
    <xf numFmtId="0" fontId="49" fillId="0" borderId="34" applyAlignment="1" pivotButton="0" quotePrefix="0" xfId="1">
      <alignment horizontal="center" vertical="center"/>
    </xf>
    <xf numFmtId="0" fontId="49" fillId="0" borderId="4" applyAlignment="1" pivotButton="0" quotePrefix="0" xfId="1">
      <alignment horizontal="center" vertical="center"/>
    </xf>
    <xf numFmtId="0" fontId="49" fillId="0" borderId="32" applyAlignment="1" pivotButton="0" quotePrefix="0" xfId="1">
      <alignment horizontal="center" vertical="center"/>
    </xf>
    <xf numFmtId="0" fontId="49" fillId="0" borderId="6" applyAlignment="1" pivotButton="0" quotePrefix="0" xfId="1">
      <alignment horizontal="center" vertical="center"/>
    </xf>
    <xf numFmtId="0" fontId="49" fillId="11" borderId="32" applyAlignment="1" pivotButton="0" quotePrefix="0" xfId="1">
      <alignment horizontal="center" vertical="center"/>
    </xf>
    <xf numFmtId="0" fontId="49" fillId="11" borderId="6" applyAlignment="1" pivotButton="0" quotePrefix="0" xfId="1">
      <alignment horizontal="center" vertical="center"/>
    </xf>
    <xf numFmtId="0" fontId="24" fillId="0" borderId="35" applyAlignment="1" pivotButton="0" quotePrefix="0" xfId="1">
      <alignment horizontal="left" vertical="center" wrapText="1"/>
    </xf>
    <xf numFmtId="0" fontId="24" fillId="0" borderId="25" applyAlignment="1" pivotButton="0" quotePrefix="0" xfId="1">
      <alignment horizontal="left" vertical="center" wrapText="1"/>
    </xf>
    <xf numFmtId="0" fontId="24" fillId="11" borderId="25" applyAlignment="1" pivotButton="0" quotePrefix="0" xfId="1">
      <alignment horizontal="left" vertical="center"/>
    </xf>
    <xf numFmtId="0" fontId="24" fillId="0" borderId="25" applyAlignment="1" pivotButton="0" quotePrefix="0" xfId="1">
      <alignment horizontal="left" vertical="center"/>
    </xf>
    <xf numFmtId="0" fontId="42" fillId="0" borderId="35" applyAlignment="1" pivotButton="0" quotePrefix="0" xfId="1">
      <alignment horizontal="left" vertical="center" wrapText="1"/>
    </xf>
    <xf numFmtId="0" fontId="42" fillId="0" borderId="25" applyAlignment="1" pivotButton="0" quotePrefix="0" xfId="1">
      <alignment horizontal="left" vertical="center" wrapText="1"/>
    </xf>
    <xf numFmtId="0" fontId="42" fillId="11" borderId="25" applyAlignment="1" pivotButton="0" quotePrefix="0" xfId="1">
      <alignment horizontal="left" vertical="center"/>
    </xf>
    <xf numFmtId="0" fontId="42" fillId="0" borderId="25" applyAlignment="1" pivotButton="0" quotePrefix="0" xfId="1">
      <alignment horizontal="left" vertical="center"/>
    </xf>
    <xf numFmtId="0" fontId="9" fillId="0" borderId="88" applyAlignment="1" pivotButton="0" quotePrefix="0" xfId="1">
      <alignment vertical="center"/>
    </xf>
    <xf numFmtId="0" fontId="24" fillId="11" borderId="25" applyAlignment="1" pivotButton="0" quotePrefix="0" xfId="1">
      <alignment horizontal="left" vertical="center" wrapText="1"/>
    </xf>
    <xf numFmtId="0" fontId="9" fillId="11" borderId="25" applyAlignment="1" pivotButton="0" quotePrefix="0" xfId="1">
      <alignment horizontal="left" vertical="center" wrapText="1"/>
    </xf>
    <xf numFmtId="0" fontId="24" fillId="0" borderId="68" applyAlignment="1" pivotButton="0" quotePrefix="0" xfId="1">
      <alignment horizontal="left" vertical="center" wrapText="1"/>
    </xf>
    <xf numFmtId="0" fontId="27" fillId="0" borderId="4" applyAlignment="1" pivotButton="0" quotePrefix="0" xfId="1">
      <alignment horizontal="center" vertical="center" wrapText="1"/>
    </xf>
    <xf numFmtId="0" fontId="9" fillId="6" borderId="65" applyAlignment="1" pivotButton="0" quotePrefix="0" xfId="1">
      <alignment vertical="top" wrapText="1"/>
    </xf>
    <xf numFmtId="0" fontId="23" fillId="0" borderId="86" applyAlignment="1" pivotButton="0" quotePrefix="1" xfId="1">
      <alignment horizontal="centerContinuous" vertical="center"/>
    </xf>
    <xf numFmtId="0" fontId="23" fillId="0" borderId="26" applyAlignment="1" pivotButton="0" quotePrefix="1" xfId="1">
      <alignment horizontal="centerContinuous" vertical="center"/>
    </xf>
    <xf numFmtId="0" fontId="23" fillId="0" borderId="87" applyAlignment="1" pivotButton="0" quotePrefix="1" xfId="1">
      <alignment horizontal="centerContinuous" vertical="center"/>
    </xf>
    <xf numFmtId="164" fontId="14" fillId="0" borderId="4" applyAlignment="1" pivotButton="0" quotePrefix="0" xfId="1">
      <alignment horizontal="center" vertical="center"/>
    </xf>
    <xf numFmtId="165" fontId="14" fillId="0" borderId="4" applyAlignment="1" pivotButton="0" quotePrefix="0" xfId="1">
      <alignment horizontal="center" vertical="center"/>
    </xf>
    <xf numFmtId="0" fontId="14" fillId="0" borderId="6" applyAlignment="1" pivotButton="0" quotePrefix="0" xfId="1">
      <alignment horizontal="left" vertical="center"/>
    </xf>
    <xf numFmtId="164" fontId="14" fillId="11" borderId="6" applyAlignment="1" pivotButton="0" quotePrefix="0" xfId="1">
      <alignment horizontal="center" vertical="center"/>
    </xf>
    <xf numFmtId="165" fontId="14" fillId="11" borderId="6" applyAlignment="1" pivotButton="0" quotePrefix="0" xfId="1">
      <alignment horizontal="center" vertical="center"/>
    </xf>
    <xf numFmtId="0" fontId="14" fillId="11" borderId="6" applyAlignment="1" pivotButton="0" quotePrefix="0" xfId="1">
      <alignment horizontal="left" vertical="center"/>
    </xf>
    <xf numFmtId="164" fontId="14" fillId="0" borderId="6" applyAlignment="1" pivotButton="0" quotePrefix="0" xfId="1">
      <alignment horizontal="center" vertical="center"/>
    </xf>
    <xf numFmtId="165" fontId="14" fillId="0" borderId="6" applyAlignment="1" pivotButton="0" quotePrefix="0" xfId="1">
      <alignment horizontal="center" vertical="center"/>
    </xf>
    <xf numFmtId="0" fontId="14" fillId="0" borderId="6" applyAlignment="1" pivotButton="0" quotePrefix="0" xfId="1">
      <alignment horizontal="left" vertical="center" wrapText="1"/>
    </xf>
    <xf numFmtId="20" fontId="14" fillId="0" borderId="6" applyAlignment="1" pivotButton="0" quotePrefix="0" xfId="1">
      <alignment horizontal="left" vertical="center" wrapText="1"/>
    </xf>
    <xf numFmtId="0" fontId="46" fillId="0" borderId="6" applyAlignment="1" pivotButton="0" quotePrefix="0" xfId="0">
      <alignment horizontal="left" vertical="center" wrapText="1"/>
    </xf>
    <xf numFmtId="0" fontId="46" fillId="0" borderId="6" applyAlignment="1" pivotButton="0" quotePrefix="0" xfId="0">
      <alignment horizontal="left" vertical="center"/>
    </xf>
    <xf numFmtId="0" fontId="46" fillId="12" borderId="6" applyAlignment="1" pivotButton="0" quotePrefix="0" xfId="0">
      <alignment horizontal="left" vertical="center"/>
    </xf>
    <xf numFmtId="0" fontId="46" fillId="12" borderId="6" applyAlignment="1" pivotButton="0" quotePrefix="0" xfId="0">
      <alignment horizontal="left" vertical="center" wrapText="1"/>
    </xf>
    <xf numFmtId="0" fontId="50" fillId="0" borderId="6" applyAlignment="1" pivotButton="0" quotePrefix="0" xfId="0">
      <alignment horizontal="center" vertical="center"/>
    </xf>
    <xf numFmtId="0" fontId="50" fillId="0" borderId="4" applyAlignment="1" pivotButton="0" quotePrefix="0" xfId="0">
      <alignment horizontal="center" vertical="center"/>
    </xf>
    <xf numFmtId="0" fontId="50" fillId="12" borderId="6" applyAlignment="1" pivotButton="0" quotePrefix="0" xfId="0">
      <alignment horizontal="center" vertical="center"/>
    </xf>
    <xf numFmtId="0" fontId="50" fillId="0" borderId="6" applyAlignment="1" pivotButton="0" quotePrefix="0" xfId="0">
      <alignment horizontal="left" vertical="center" wrapText="1"/>
    </xf>
    <xf numFmtId="0" fontId="50" fillId="0" borderId="6" applyAlignment="1" pivotButton="0" quotePrefix="0" xfId="0">
      <alignment horizontal="left" vertical="center"/>
    </xf>
    <xf numFmtId="0" fontId="50" fillId="12" borderId="6" applyAlignment="1" pivotButton="0" quotePrefix="0" xfId="0">
      <alignment horizontal="left" vertical="center"/>
    </xf>
    <xf numFmtId="0" fontId="50" fillId="12" borderId="6" applyAlignment="1" pivotButton="0" quotePrefix="0" xfId="0">
      <alignment horizontal="left" vertical="center" wrapText="1"/>
    </xf>
    <xf numFmtId="0" fontId="51" fillId="0" borderId="6" applyAlignment="1" pivotButton="0" quotePrefix="0" xfId="0">
      <alignment horizontal="left" vertical="center" wrapText="1"/>
    </xf>
    <xf numFmtId="0" fontId="50" fillId="0" borderId="7" applyAlignment="1" pivotButton="0" quotePrefix="0" xfId="0">
      <alignment horizontal="center" vertical="center"/>
    </xf>
    <xf numFmtId="0" fontId="50" fillId="0" borderId="7" applyAlignment="1" pivotButton="0" quotePrefix="0" xfId="0">
      <alignment horizontal="left" vertical="center" wrapText="1"/>
    </xf>
    <xf numFmtId="0" fontId="46" fillId="0" borderId="7" applyAlignment="1" pivotButton="0" quotePrefix="0" xfId="0">
      <alignment horizontal="left" vertical="center" wrapText="1"/>
    </xf>
    <xf numFmtId="0" fontId="52" fillId="12" borderId="6" applyAlignment="1" pivotButton="0" quotePrefix="0" xfId="0">
      <alignment horizontal="left" vertical="center"/>
    </xf>
    <xf numFmtId="0" fontId="50" fillId="12" borderId="4" applyAlignment="1" pivotButton="0" quotePrefix="0" xfId="0">
      <alignment horizontal="center" vertical="center"/>
    </xf>
    <xf numFmtId="0" fontId="50" fillId="12" borderId="7" applyAlignment="1" pivotButton="0" quotePrefix="0" xfId="0">
      <alignment horizontal="center" vertical="center"/>
    </xf>
    <xf numFmtId="0" fontId="46" fillId="12" borderId="6" applyAlignment="1" pivotButton="0" quotePrefix="0" xfId="0">
      <alignment vertical="center"/>
    </xf>
    <xf numFmtId="0" fontId="46" fillId="0" borderId="6" applyAlignment="1" pivotButton="0" quotePrefix="0" xfId="0">
      <alignment vertical="center"/>
    </xf>
    <xf numFmtId="0" fontId="46" fillId="12" borderId="6" applyAlignment="1" pivotButton="0" quotePrefix="0" xfId="0">
      <alignment vertical="center" wrapText="1"/>
    </xf>
    <xf numFmtId="0" fontId="46" fillId="0" borderId="6" applyAlignment="1" pivotButton="0" quotePrefix="0" xfId="0">
      <alignment vertical="center" wrapText="1"/>
    </xf>
    <xf numFmtId="0" fontId="47" fillId="0" borderId="6" applyAlignment="1" pivotButton="0" quotePrefix="0" xfId="1">
      <alignment horizontal="center" vertical="center"/>
    </xf>
    <xf numFmtId="0" fontId="47" fillId="11" borderId="6" applyAlignment="1" pivotButton="0" quotePrefix="0" xfId="1">
      <alignment horizontal="center" vertical="center"/>
    </xf>
    <xf numFmtId="164" fontId="47" fillId="0" borderId="34" applyAlignment="1" pivotButton="0" quotePrefix="0" xfId="1">
      <alignment horizontal="center" vertical="center"/>
    </xf>
    <xf numFmtId="164" fontId="47" fillId="0" borderId="32" applyAlignment="1" pivotButton="0" quotePrefix="0" xfId="1">
      <alignment horizontal="center" vertical="center"/>
    </xf>
    <xf numFmtId="164" fontId="47" fillId="11" borderId="32" applyAlignment="1" pivotButton="0" quotePrefix="0" xfId="1">
      <alignment horizontal="center" vertical="center"/>
    </xf>
    <xf numFmtId="0" fontId="53" fillId="11" borderId="6" applyAlignment="1" pivotButton="0" quotePrefix="0" xfId="1">
      <alignment horizontal="center" vertical="center" shrinkToFit="1"/>
    </xf>
    <xf numFmtId="0" fontId="47" fillId="11" borderId="6" applyAlignment="1" pivotButton="0" quotePrefix="0" xfId="1">
      <alignment horizontal="center" vertical="center" shrinkToFit="1"/>
    </xf>
    <xf numFmtId="0" fontId="53" fillId="11" borderId="6" applyAlignment="1" pivotButton="0" quotePrefix="0" xfId="1">
      <alignment horizontal="center" vertical="center"/>
    </xf>
    <xf numFmtId="0" fontId="53" fillId="0" borderId="6" applyAlignment="1" pivotButton="0" quotePrefix="0" xfId="1">
      <alignment horizontal="center" vertical="center"/>
    </xf>
    <xf numFmtId="0" fontId="47" fillId="0" borderId="6" applyAlignment="1" pivotButton="0" quotePrefix="0" xfId="1">
      <alignment horizontal="center" vertical="center" shrinkToFit="1"/>
    </xf>
    <xf numFmtId="0" fontId="53" fillId="0" borderId="6" applyAlignment="1" pivotButton="0" quotePrefix="0" xfId="1">
      <alignment horizontal="center" vertical="center" shrinkToFit="1"/>
    </xf>
    <xf numFmtId="0" fontId="24" fillId="0" borderId="6" applyAlignment="1" pivotButton="0" quotePrefix="0" xfId="1">
      <alignment horizontal="left" vertical="center" wrapText="1" shrinkToFit="1"/>
    </xf>
    <xf numFmtId="0" fontId="38" fillId="0" borderId="6" applyAlignment="1" pivotButton="0" quotePrefix="0" xfId="1">
      <alignment horizontal="left" vertical="center" wrapText="1"/>
    </xf>
    <xf numFmtId="0" fontId="53" fillId="11" borderId="36" applyAlignment="1" pivotButton="0" quotePrefix="0" xfId="1">
      <alignment horizontal="center" vertical="center" shrinkToFit="1"/>
    </xf>
    <xf numFmtId="0" fontId="47" fillId="11" borderId="36" applyAlignment="1" pivotButton="0" quotePrefix="0" xfId="1">
      <alignment horizontal="center" vertical="center"/>
    </xf>
    <xf numFmtId="0" fontId="24" fillId="11" borderId="36" applyAlignment="1" pivotButton="0" quotePrefix="0" xfId="1">
      <alignment horizontal="left" vertical="center" wrapText="1"/>
    </xf>
    <xf numFmtId="0" fontId="42" fillId="11" borderId="6" applyAlignment="1" pivotButton="0" quotePrefix="0" xfId="1">
      <alignment vertical="center"/>
    </xf>
    <xf numFmtId="0" fontId="42" fillId="0" borderId="6" applyAlignment="1" pivotButton="0" quotePrefix="0" xfId="1">
      <alignment vertical="center"/>
    </xf>
    <xf numFmtId="0" fontId="42" fillId="11" borderId="36" applyAlignment="1" pivotButton="0" quotePrefix="0" xfId="1">
      <alignment vertical="center"/>
    </xf>
    <xf numFmtId="0" fontId="54" fillId="0" borderId="6" applyAlignment="1" pivotButton="0" quotePrefix="0" xfId="0">
      <alignment horizontal="center" vertical="center"/>
    </xf>
    <xf numFmtId="0" fontId="54" fillId="12" borderId="6" applyAlignment="1" pivotButton="0" quotePrefix="0" xfId="0">
      <alignment horizontal="center" vertical="center"/>
    </xf>
    <xf numFmtId="0" fontId="54" fillId="0" borderId="32" applyAlignment="1" pivotButton="0" quotePrefix="0" xfId="0">
      <alignment horizontal="center" vertical="center"/>
    </xf>
    <xf numFmtId="0" fontId="9" fillId="6" borderId="86" applyAlignment="1" pivotButton="0" quotePrefix="0" xfId="1">
      <alignment horizontal="left" vertical="top" wrapText="1"/>
    </xf>
    <xf numFmtId="0" fontId="9" fillId="6" borderId="26" applyAlignment="1" pivotButton="0" quotePrefix="0" xfId="1">
      <alignment horizontal="left" vertical="top" wrapText="1"/>
    </xf>
    <xf numFmtId="0" fontId="9" fillId="6" borderId="87" applyAlignment="1" pivotButton="0" quotePrefix="0" xfId="1">
      <alignment horizontal="left" vertical="top" wrapText="1"/>
    </xf>
    <xf numFmtId="0" fontId="44" fillId="0" borderId="0" applyAlignment="1" pivotButton="0" quotePrefix="0" xfId="1">
      <alignment horizontal="center" vertical="center"/>
    </xf>
    <xf numFmtId="0" fontId="44" fillId="0" borderId="24" applyAlignment="1" pivotButton="0" quotePrefix="0" xfId="1">
      <alignment horizontal="center" vertical="center"/>
    </xf>
    <xf numFmtId="0" fontId="3" fillId="0" borderId="28" applyAlignment="1" pivotButton="0" quotePrefix="0" xfId="1">
      <alignment horizontal="left" vertical="center"/>
    </xf>
    <xf numFmtId="0" fontId="3" fillId="0" borderId="29" applyAlignment="1" pivotButton="0" quotePrefix="0" xfId="1">
      <alignment horizontal="left" vertical="center"/>
    </xf>
    <xf numFmtId="0" fontId="3" fillId="0" borderId="65" applyAlignment="1" pivotButton="0" quotePrefix="0" xfId="1">
      <alignment horizontal="left" vertical="center"/>
    </xf>
    <xf numFmtId="0" fontId="3" fillId="0" borderId="0" applyAlignment="1" pivotButton="0" quotePrefix="0" xfId="1">
      <alignment horizontal="left" vertical="center"/>
    </xf>
    <xf numFmtId="0" fontId="3" fillId="0" borderId="65" applyAlignment="1" pivotButton="0" quotePrefix="0" xfId="1">
      <alignment horizontal="right" vertical="center"/>
    </xf>
    <xf numFmtId="0" fontId="3" fillId="0" borderId="0" applyAlignment="1" pivotButton="0" quotePrefix="0" xfId="1">
      <alignment horizontal="right" vertical="center"/>
    </xf>
    <xf numFmtId="0" fontId="23" fillId="0" borderId="86" applyAlignment="1" pivotButton="0" quotePrefix="1" xfId="1">
      <alignment horizontal="center" vertical="center"/>
    </xf>
    <xf numFmtId="0" fontId="23" fillId="0" borderId="26" applyAlignment="1" pivotButton="0" quotePrefix="1" xfId="1">
      <alignment horizontal="center" vertical="center"/>
    </xf>
    <xf numFmtId="0" fontId="23" fillId="0" borderId="87" applyAlignment="1" pivotButton="0" quotePrefix="1" xfId="1">
      <alignment horizontal="center" vertical="center"/>
    </xf>
    <xf numFmtId="0" fontId="13" fillId="0" borderId="59" applyAlignment="1" pivotButton="0" quotePrefix="1" xfId="1">
      <alignment horizontal="center" vertical="center"/>
    </xf>
    <xf numFmtId="0" fontId="13" fillId="0" borderId="58" applyAlignment="1" pivotButton="0" quotePrefix="1" xfId="1">
      <alignment horizontal="center" vertical="center"/>
    </xf>
    <xf numFmtId="0" fontId="13" fillId="0" borderId="60" applyAlignment="1" pivotButton="0" quotePrefix="1" xfId="1">
      <alignment horizontal="center" vertical="center"/>
    </xf>
    <xf numFmtId="0" fontId="9" fillId="0" borderId="30" applyAlignment="1" pivotButton="0" quotePrefix="0" xfId="1">
      <alignment horizontal="left" vertical="top" wrapText="1"/>
    </xf>
    <xf numFmtId="0" fontId="9" fillId="0" borderId="24" applyAlignment="1" pivotButton="0" quotePrefix="0" xfId="1">
      <alignment horizontal="left" vertical="top" wrapText="1"/>
    </xf>
    <xf numFmtId="0" fontId="9" fillId="0" borderId="31" applyAlignment="1" pivotButton="0" quotePrefix="0" xfId="1">
      <alignment horizontal="left" vertical="top" wrapText="1"/>
    </xf>
    <xf numFmtId="0" fontId="23" fillId="0" borderId="0" applyAlignment="1" pivotButton="0" quotePrefix="0" xfId="1">
      <alignment horizontal="center" vertical="center"/>
    </xf>
    <xf numFmtId="0" fontId="3" fillId="0" borderId="54" applyAlignment="1" pivotButton="0" quotePrefix="0" xfId="1">
      <alignment horizontal="left" vertical="center"/>
    </xf>
    <xf numFmtId="0" fontId="3" fillId="0" borderId="55" applyAlignment="1" pivotButton="0" quotePrefix="0" xfId="1">
      <alignment horizontal="left" vertical="center"/>
    </xf>
    <xf numFmtId="0" fontId="3" fillId="0" borderId="56" applyAlignment="1" pivotButton="0" quotePrefix="0" xfId="1">
      <alignment horizontal="left" vertical="center"/>
    </xf>
    <xf numFmtId="0" fontId="3" fillId="0" borderId="61" applyAlignment="1" pivotButton="0" quotePrefix="0" xfId="1">
      <alignment horizontal="left" vertical="center"/>
    </xf>
    <xf numFmtId="0" fontId="3" fillId="0" borderId="62" applyAlignment="1" pivotButton="0" quotePrefix="0" xfId="1">
      <alignment horizontal="left" vertical="center"/>
    </xf>
    <xf numFmtId="0" fontId="3" fillId="0" borderId="63" applyAlignment="1" pivotButton="0" quotePrefix="0" xfId="1">
      <alignment horizontal="left" vertical="center"/>
    </xf>
    <xf numFmtId="0" fontId="10" fillId="0" borderId="74" applyAlignment="1" pivotButton="0" quotePrefix="0" xfId="1">
      <alignment horizontal="right" vertical="center"/>
    </xf>
    <xf numFmtId="0" fontId="10" fillId="0" borderId="19" applyAlignment="1" pivotButton="0" quotePrefix="0" xfId="1">
      <alignment horizontal="right" vertical="center"/>
    </xf>
    <xf numFmtId="0" fontId="10" fillId="0" borderId="75" applyAlignment="1" pivotButton="0" quotePrefix="0" xfId="1">
      <alignment horizontal="right" vertical="center"/>
    </xf>
    <xf numFmtId="0" fontId="3" fillId="6" borderId="21" applyAlignment="1" pivotButton="0" quotePrefix="0" xfId="1">
      <alignment horizontal="center" vertical="center"/>
    </xf>
    <xf numFmtId="0" fontId="3" fillId="6" borderId="20" applyAlignment="1" pivotButton="0" quotePrefix="0" xfId="1">
      <alignment horizontal="center" vertical="center"/>
    </xf>
    <xf numFmtId="0" fontId="3" fillId="6" borderId="22" applyAlignment="1" pivotButton="0" quotePrefix="0" xfId="1">
      <alignment horizontal="center" vertical="center"/>
    </xf>
    <xf numFmtId="0" fontId="3" fillId="6" borderId="83" applyAlignment="1" pivotButton="0" quotePrefix="0" xfId="1">
      <alignment horizontal="center" vertical="center"/>
    </xf>
    <xf numFmtId="0" fontId="3" fillId="6" borderId="23" applyAlignment="1" pivotButton="0" quotePrefix="0" xfId="1">
      <alignment horizontal="center" vertical="center"/>
    </xf>
    <xf numFmtId="0" fontId="3" fillId="6" borderId="81" applyAlignment="1" pivotButton="0" quotePrefix="0" xfId="1">
      <alignment horizontal="center" vertical="center"/>
    </xf>
    <xf numFmtId="0" fontId="3" fillId="6" borderId="24" applyAlignment="1" pivotButton="0" quotePrefix="0" xfId="1">
      <alignment horizontal="center" vertical="center"/>
    </xf>
    <xf numFmtId="0" fontId="3" fillId="6" borderId="82" applyAlignment="1" pivotButton="0" quotePrefix="0" xfId="1">
      <alignment horizontal="center" vertical="center"/>
    </xf>
    <xf numFmtId="0" fontId="3" fillId="6" borderId="76" applyAlignment="1" pivotButton="0" quotePrefix="0" xfId="1">
      <alignment horizontal="center" vertical="center"/>
    </xf>
    <xf numFmtId="0" fontId="3" fillId="6" borderId="43" applyAlignment="1" pivotButton="0" quotePrefix="0" xfId="1">
      <alignment horizontal="center" vertical="center"/>
    </xf>
    <xf numFmtId="0" fontId="3" fillId="6" borderId="44" applyAlignment="1" pivotButton="0" quotePrefix="0" xfId="1">
      <alignment horizontal="center" vertical="center"/>
    </xf>
    <xf numFmtId="0" fontId="9" fillId="6" borderId="50" applyAlignment="1" pivotButton="0" quotePrefix="0" xfId="1">
      <alignment horizontal="left" vertical="top" wrapText="1"/>
    </xf>
    <xf numFmtId="0" fontId="9" fillId="6" borderId="51" applyAlignment="1" pivotButton="0" quotePrefix="0" xfId="1">
      <alignment horizontal="left" vertical="top" wrapText="1"/>
    </xf>
    <xf numFmtId="0" fontId="9" fillId="6" borderId="19" applyAlignment="1" pivotButton="0" quotePrefix="0" xfId="1">
      <alignment horizontal="center" vertical="center"/>
    </xf>
    <xf numFmtId="0" fontId="9" fillId="6" borderId="47" applyAlignment="1" pivotButton="0" quotePrefix="0" xfId="1">
      <alignment horizontal="left" vertical="top" wrapText="1"/>
    </xf>
    <xf numFmtId="0" fontId="9" fillId="6" borderId="13" applyAlignment="1" pivotButton="0" quotePrefix="0" xfId="1">
      <alignment horizontal="left" vertical="top" wrapText="1"/>
    </xf>
    <xf numFmtId="0" fontId="9" fillId="6" borderId="13" applyAlignment="1" pivotButton="0" quotePrefix="0" xfId="1">
      <alignment horizontal="left" vertical="top"/>
    </xf>
    <xf numFmtId="0" fontId="9" fillId="6" borderId="48" applyAlignment="1" pivotButton="0" quotePrefix="0" xfId="1">
      <alignment horizontal="left" vertical="top"/>
    </xf>
    <xf numFmtId="0" fontId="9" fillId="6" borderId="49" applyAlignment="1" pivotButton="0" quotePrefix="0" xfId="1">
      <alignment horizontal="left" vertical="top" wrapText="1"/>
    </xf>
    <xf numFmtId="0" fontId="9" fillId="6" borderId="48" applyAlignment="1" pivotButton="0" quotePrefix="0" xfId="1">
      <alignment horizontal="left" vertical="top" wrapText="1"/>
    </xf>
    <xf numFmtId="0" fontId="9" fillId="6" borderId="53" applyAlignment="1" pivotButton="0" quotePrefix="0" xfId="1">
      <alignment horizontal="left" vertical="top" wrapText="1"/>
    </xf>
    <xf numFmtId="0" fontId="9" fillId="6" borderId="78" applyAlignment="1" pivotButton="0" quotePrefix="0" xfId="1">
      <alignment horizontal="left" vertical="top" wrapText="1"/>
    </xf>
    <xf numFmtId="0" fontId="9" fillId="6" borderId="79" applyAlignment="1" pivotButton="0" quotePrefix="0" xfId="1">
      <alignment horizontal="left" vertical="top" wrapText="1"/>
    </xf>
    <xf numFmtId="0" fontId="9" fillId="6" borderId="80" applyAlignment="1" pivotButton="0" quotePrefix="0" xfId="1">
      <alignment horizontal="left" vertical="top" wrapText="1"/>
    </xf>
    <xf numFmtId="0" fontId="9" fillId="6" borderId="52" applyAlignment="1" pivotButton="0" quotePrefix="0" xfId="1">
      <alignment horizontal="left" vertical="top" wrapText="1"/>
    </xf>
    <xf numFmtId="0" fontId="9" fillId="6" borderId="15" applyAlignment="1" pivotButton="0" quotePrefix="0" xfId="1">
      <alignment horizontal="left" vertical="top" wrapText="1"/>
    </xf>
    <xf numFmtId="0" fontId="9" fillId="6" borderId="12" applyAlignment="1" pivotButton="0" quotePrefix="0" xfId="1">
      <alignment horizontal="left" vertical="top" wrapText="1"/>
    </xf>
    <xf numFmtId="0" fontId="9" fillId="6" borderId="16" applyAlignment="1" pivotButton="0" quotePrefix="0" xfId="1">
      <alignment horizontal="left" vertical="top" wrapText="1"/>
    </xf>
    <xf numFmtId="0" fontId="0" fillId="0" borderId="24" pivotButton="0" quotePrefix="0" xfId="0"/>
    <xf numFmtId="0" fontId="0" fillId="0" borderId="29" pivotButton="0" quotePrefix="0" xfId="0"/>
    <xf numFmtId="0" fontId="9" fillId="6" borderId="89" applyAlignment="1" pivotButton="0" quotePrefix="0" xfId="1">
      <alignment horizontal="left" vertical="top" wrapText="1"/>
    </xf>
    <xf numFmtId="0" fontId="0" fillId="0" borderId="26" pivotButton="0" quotePrefix="0" xfId="0"/>
    <xf numFmtId="0" fontId="0" fillId="0" borderId="87" pivotButton="0" quotePrefix="0" xfId="0"/>
    <xf numFmtId="164" fontId="47" fillId="0" borderId="34" applyAlignment="1" pivotButton="0" quotePrefix="0" xfId="1">
      <alignment horizontal="center" vertical="center"/>
    </xf>
    <xf numFmtId="164" fontId="47" fillId="0" borderId="32" applyAlignment="1" pivotButton="0" quotePrefix="0" xfId="1">
      <alignment horizontal="center" vertical="center"/>
    </xf>
    <xf numFmtId="164" fontId="47" fillId="11" borderId="32" applyAlignment="1" pivotButton="0" quotePrefix="0" xfId="1">
      <alignment horizontal="center" vertical="center"/>
    </xf>
    <xf numFmtId="164" fontId="14" fillId="0" borderId="4" applyAlignment="1" pivotButton="0" quotePrefix="0" xfId="1">
      <alignment horizontal="center" vertical="center"/>
    </xf>
    <xf numFmtId="165" fontId="14" fillId="0" borderId="4" applyAlignment="1" pivotButton="0" quotePrefix="0" xfId="1">
      <alignment horizontal="center" vertical="center"/>
    </xf>
    <xf numFmtId="164" fontId="14" fillId="11" borderId="6" applyAlignment="1" pivotButton="0" quotePrefix="0" xfId="1">
      <alignment horizontal="center" vertical="center"/>
    </xf>
    <xf numFmtId="165" fontId="14" fillId="11" borderId="6" applyAlignment="1" pivotButton="0" quotePrefix="0" xfId="1">
      <alignment horizontal="center" vertical="center"/>
    </xf>
    <xf numFmtId="164" fontId="14" fillId="0" borderId="6" applyAlignment="1" pivotButton="0" quotePrefix="0" xfId="1">
      <alignment horizontal="center" vertical="center"/>
    </xf>
    <xf numFmtId="165" fontId="14" fillId="0" borderId="6" applyAlignment="1" pivotButton="0" quotePrefix="0" xfId="1">
      <alignment horizontal="center" vertical="center"/>
    </xf>
    <xf numFmtId="0" fontId="23" fillId="0" borderId="89" applyAlignment="1" pivotButton="0" quotePrefix="1" xfId="1">
      <alignment horizontal="center" vertical="center"/>
    </xf>
    <xf numFmtId="0" fontId="0" fillId="0" borderId="94" pivotButton="0" quotePrefix="0" xfId="0"/>
    <xf numFmtId="0" fontId="0" fillId="0" borderId="95" pivotButton="0" quotePrefix="0" xfId="0"/>
    <xf numFmtId="0" fontId="10" fillId="0" borderId="96" applyAlignment="1" pivotButton="0" quotePrefix="0" xfId="1">
      <alignment horizontal="right" vertical="center"/>
    </xf>
    <xf numFmtId="0" fontId="0" fillId="0" borderId="19" pivotButton="0" quotePrefix="0" xfId="0"/>
    <xf numFmtId="0" fontId="0" fillId="0" borderId="75" pivotButton="0" quotePrefix="0" xfId="0"/>
    <xf numFmtId="0" fontId="13" fillId="0" borderId="27" applyAlignment="1" pivotButton="0" quotePrefix="1" xfId="1">
      <alignment horizontal="center" vertical="center"/>
    </xf>
    <xf numFmtId="0" fontId="0" fillId="0" borderId="58" pivotButton="0" quotePrefix="0" xfId="0"/>
    <xf numFmtId="0" fontId="0" fillId="0" borderId="60" pivotButton="0" quotePrefix="0" xfId="0"/>
    <xf numFmtId="0" fontId="9" fillId="0" borderId="93" applyAlignment="1" pivotButton="0" quotePrefix="0" xfId="1">
      <alignment horizontal="left" vertical="top" wrapText="1"/>
    </xf>
    <xf numFmtId="0" fontId="0" fillId="0" borderId="31" pivotButton="0" quotePrefix="0" xfId="0"/>
    <xf numFmtId="0" fontId="3" fillId="6" borderId="105" applyAlignment="1" pivotButton="0" quotePrefix="0" xfId="1">
      <alignment horizontal="center" vertical="center"/>
    </xf>
    <xf numFmtId="0" fontId="0" fillId="0" borderId="20" pivotButton="0" quotePrefix="0" xfId="0"/>
    <xf numFmtId="0" fontId="0" fillId="0" borderId="22" pivotButton="0" quotePrefix="0" xfId="0"/>
    <xf numFmtId="0" fontId="3" fillId="6" borderId="106" applyAlignment="1" pivotButton="0" quotePrefix="0" xfId="1">
      <alignment horizontal="center" vertical="center"/>
    </xf>
    <xf numFmtId="0" fontId="3" fillId="6" borderId="108" applyAlignment="1" pivotButton="0" quotePrefix="0" xfId="1">
      <alignment horizontal="center" vertical="center"/>
    </xf>
    <xf numFmtId="0" fontId="0" fillId="0" borderId="82" pivotButton="0" quotePrefix="0" xfId="0"/>
    <xf numFmtId="0" fontId="3" fillId="6" borderId="107" applyAlignment="1" pivotButton="0" quotePrefix="0" xfId="1">
      <alignment horizontal="center" vertical="center"/>
    </xf>
    <xf numFmtId="0" fontId="0" fillId="0" borderId="83" pivotButton="0" quotePrefix="0" xfId="0"/>
    <xf numFmtId="0" fontId="3" fillId="6" borderId="109" applyAlignment="1" pivotButton="0" quotePrefix="0" xfId="1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9" fillId="6" borderId="104" applyAlignment="1" pivotButton="0" quotePrefix="0" xfId="1">
      <alignment horizontal="left" vertical="top" wrapText="1"/>
    </xf>
    <xf numFmtId="0" fontId="0" fillId="0" borderId="13" pivotButton="0" quotePrefix="0" xfId="0"/>
    <xf numFmtId="0" fontId="0" fillId="0" borderId="48" pivotButton="0" quotePrefix="0" xfId="0"/>
    <xf numFmtId="0" fontId="9" fillId="6" borderId="102" applyAlignment="1" pivotButton="0" quotePrefix="0" xfId="1">
      <alignment horizontal="left" vertical="top" wrapText="1"/>
    </xf>
    <xf numFmtId="0" fontId="0" fillId="0" borderId="51" pivotButton="0" quotePrefix="0" xfId="0"/>
    <xf numFmtId="0" fontId="9" fillId="6" borderId="98" applyAlignment="1" pivotButton="0" quotePrefix="0" xfId="1">
      <alignment horizontal="left" vertical="top" wrapText="1"/>
    </xf>
    <xf numFmtId="0" fontId="0" fillId="0" borderId="79" pivotButton="0" quotePrefix="0" xfId="0"/>
    <xf numFmtId="0" fontId="9" fillId="6" borderId="100" applyAlignment="1" pivotButton="0" quotePrefix="0" xfId="1">
      <alignment horizontal="left" vertical="top" wrapText="1"/>
    </xf>
    <xf numFmtId="0" fontId="0" fillId="0" borderId="52" pivotButton="0" quotePrefix="0" xfId="0"/>
    <xf numFmtId="0" fontId="9" fillId="6" borderId="37" applyAlignment="1" pivotButton="0" quotePrefix="0" xfId="1">
      <alignment horizontal="left" vertical="top" wrapText="1"/>
    </xf>
    <xf numFmtId="0" fontId="0" fillId="0" borderId="12" pivotButton="0" quotePrefix="0" xfId="0"/>
    <xf numFmtId="0" fontId="0" fillId="0" borderId="16" pivotButton="0" quotePrefix="0" xfId="0"/>
    <xf numFmtId="0" fontId="9" fillId="6" borderId="103" applyAlignment="1" pivotButton="0" quotePrefix="0" xfId="1">
      <alignment horizontal="left" vertical="top" wrapText="1"/>
    </xf>
    <xf numFmtId="0" fontId="9" fillId="6" borderId="97" applyAlignment="1" pivotButton="0" quotePrefix="0" xfId="1">
      <alignment horizontal="left" vertical="top" wrapText="1"/>
    </xf>
    <xf numFmtId="0" fontId="0" fillId="0" borderId="53" pivotButton="0" quotePrefix="0" xfId="0"/>
    <xf numFmtId="0" fontId="54" fillId="13" borderId="6" applyAlignment="1" pivotButton="0" quotePrefix="0" xfId="0">
      <alignment horizontal="center" vertical="center"/>
    </xf>
    <xf numFmtId="0" fontId="50" fillId="13" borderId="6" applyAlignment="1" pivotButton="0" quotePrefix="0" xfId="0">
      <alignment horizontal="left" vertical="center"/>
    </xf>
    <xf numFmtId="0" fontId="46" fillId="13" borderId="6" applyAlignment="1" pivotButton="0" quotePrefix="0" xfId="0">
      <alignment horizontal="left" vertical="center"/>
    </xf>
    <xf numFmtId="0" fontId="9" fillId="13" borderId="0" applyAlignment="1" pivotButton="0" quotePrefix="0" xfId="1">
      <alignment vertical="center"/>
    </xf>
    <xf numFmtId="0" fontId="0" fillId="13" borderId="0" pivotButton="0" quotePrefix="0" xfId="0"/>
    <xf numFmtId="0" fontId="50" fillId="13" borderId="6" applyAlignment="1" pivotButton="0" quotePrefix="0" xfId="0">
      <alignment horizontal="left" vertical="center" wrapText="1"/>
    </xf>
    <xf numFmtId="0" fontId="46" fillId="13" borderId="6" applyAlignment="1" pivotButton="0" quotePrefix="0" xfId="0">
      <alignment horizontal="left" vertical="center" wrapText="1"/>
    </xf>
    <xf numFmtId="0" fontId="24" fillId="0" borderId="60" applyAlignment="1" pivotButton="0" quotePrefix="0" xfId="1">
      <alignment horizontal="left" vertical="center" shrinkToFit="1"/>
    </xf>
    <xf numFmtId="0" fontId="43" fillId="0" borderId="60" applyAlignment="1" pivotButton="0" quotePrefix="0" xfId="0">
      <alignment vertical="center"/>
    </xf>
    <xf numFmtId="0" fontId="43" fillId="13" borderId="60" applyAlignment="1" pivotButton="0" quotePrefix="0" xfId="0">
      <alignment vertical="center"/>
    </xf>
    <xf numFmtId="18" fontId="3" fillId="13" borderId="0" applyAlignment="1" pivotButton="0" quotePrefix="0" xfId="1">
      <alignment vertical="center"/>
    </xf>
    <xf numFmtId="0" fontId="3" fillId="13" borderId="0" applyAlignment="1" pivotButton="0" quotePrefix="0" xfId="1">
      <alignment vertical="center"/>
    </xf>
  </cellXfs>
  <cellStyles count="2">
    <cellStyle name="標準" xfId="0" builtinId="0"/>
    <cellStyle name="標準 2" xfId="1"/>
  </cellStyles>
  <dxfs count="8"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9" tint="0.3999450666829432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R39"/>
  <sheetViews>
    <sheetView workbookViewId="0">
      <selection activeCell="A1" sqref="A1"/>
    </sheetView>
  </sheetViews>
  <sheetFormatPr baseColWidth="8" defaultColWidth="9" defaultRowHeight="13.2"/>
  <cols>
    <col width="6.109375" bestFit="1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407" t="inlineStr">
        <is>
          <t>2026年度　令和8年　8月　吹奏楽部活動予定</t>
        </is>
      </c>
      <c r="B7" s="408" t="n"/>
      <c r="C7" s="408" t="n"/>
      <c r="D7" s="408" t="n"/>
      <c r="E7" s="409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573" t="n">
        <v>1</v>
      </c>
      <c r="B8" s="573" t="inlineStr">
        <is>
          <t>土</t>
        </is>
      </c>
      <c r="C8" s="574" t="n"/>
      <c r="D8" s="575" t="inlineStr">
        <is>
          <t>9:00～16:00</t>
        </is>
      </c>
      <c r="E8" s="575" t="inlineStr">
        <is>
          <t>コンクール後最初の練習</t>
        </is>
      </c>
      <c r="F8" s="576" t="inlineStr">
        <is>
          <t>１行  15.75</t>
        </is>
      </c>
      <c r="G8" s="576" t="n"/>
      <c r="H8" s="577" t="n"/>
      <c r="I8" s="577" t="n"/>
      <c r="J8" s="577" t="n"/>
      <c r="K8" s="577" t="n"/>
      <c r="L8" s="577" t="n"/>
      <c r="M8" s="577" t="n"/>
      <c r="N8" s="577" t="n"/>
      <c r="O8" s="577" t="n"/>
      <c r="P8" s="577" t="n"/>
      <c r="Q8" s="577" t="n"/>
      <c r="R8" s="577" t="n"/>
    </row>
    <row r="9" ht="24" customHeight="1">
      <c r="A9" s="573" t="n">
        <v>2</v>
      </c>
      <c r="B9" s="573" t="inlineStr">
        <is>
          <t>日</t>
        </is>
      </c>
      <c r="C9" s="578" t="n"/>
      <c r="D9" s="579" t="inlineStr">
        <is>
          <t>休み</t>
        </is>
      </c>
      <c r="E9" s="579" t="n"/>
      <c r="F9" s="576" t="inlineStr">
        <is>
          <t>MSPゴシック１２　日・曜日・行事</t>
        </is>
      </c>
      <c r="G9" s="576" t="n"/>
      <c r="H9" s="577" t="n"/>
      <c r="I9" s="577" t="n"/>
      <c r="J9" s="577" t="n"/>
      <c r="K9" s="577" t="n"/>
      <c r="L9" s="577" t="n"/>
      <c r="M9" s="577" t="n"/>
      <c r="N9" s="577" t="n"/>
      <c r="O9" s="577" t="n"/>
      <c r="P9" s="577" t="n"/>
      <c r="Q9" s="577" t="n"/>
      <c r="R9" s="577" t="n"/>
    </row>
    <row r="10" ht="24" customHeight="1">
      <c r="A10" s="461" t="n">
        <v>3</v>
      </c>
      <c r="B10" s="461" t="inlineStr">
        <is>
          <t>月</t>
        </is>
      </c>
      <c r="C10" s="427" t="n"/>
      <c r="D10" s="420" t="inlineStr">
        <is>
          <t>9:00～16:00</t>
        </is>
      </c>
      <c r="E10" s="420" t="n"/>
      <c r="F10" s="310" t="n"/>
      <c r="G10" s="310" t="n"/>
    </row>
    <row r="11" ht="24" customHeight="1">
      <c r="A11" s="461" t="n">
        <v>4</v>
      </c>
      <c r="B11" s="461" t="inlineStr">
        <is>
          <t>火</t>
        </is>
      </c>
      <c r="C11" s="427" t="inlineStr">
        <is>
          <t>オフィス改善（～8/8）</t>
        </is>
      </c>
      <c r="D11" s="420" t="inlineStr">
        <is>
          <t>9:00～16:00</t>
        </is>
      </c>
      <c r="E11" s="420" t="n"/>
      <c r="F11" s="310" t="n"/>
      <c r="G11" s="310" t="n"/>
    </row>
    <row r="12" ht="24" customHeight="1">
      <c r="A12" s="461" t="n">
        <v>5</v>
      </c>
      <c r="B12" s="461" t="inlineStr">
        <is>
          <t>水</t>
        </is>
      </c>
      <c r="C12" s="428" t="n"/>
      <c r="D12" s="421" t="inlineStr">
        <is>
          <t>9:00～16:00</t>
        </is>
      </c>
      <c r="E12" s="421" t="n"/>
      <c r="F12" s="580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461" t="n">
        <v>6</v>
      </c>
      <c r="B13" s="461" t="inlineStr">
        <is>
          <t>木</t>
        </is>
      </c>
      <c r="C13" s="427" t="n"/>
      <c r="D13" s="420" t="inlineStr">
        <is>
          <t>9:00～16:00</t>
        </is>
      </c>
      <c r="E13" s="420" t="n"/>
      <c r="F13" s="581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461" t="n">
        <v>7</v>
      </c>
      <c r="B14" s="461" t="inlineStr">
        <is>
          <t>金</t>
        </is>
      </c>
      <c r="C14" s="427" t="inlineStr">
        <is>
          <t>公私合同説明会（専修大学）</t>
        </is>
      </c>
      <c r="D14" s="420" t="inlineStr">
        <is>
          <t>9:00～16:00</t>
        </is>
      </c>
      <c r="E14" s="420" t="n"/>
      <c r="F14" s="581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573" t="n">
        <v>8</v>
      </c>
      <c r="B15" s="573" t="inlineStr">
        <is>
          <t>土</t>
        </is>
      </c>
      <c r="C15" s="574" t="n"/>
      <c r="D15" s="579" t="inlineStr">
        <is>
          <t>9:00～16:00</t>
        </is>
      </c>
      <c r="E15" s="575" t="n"/>
      <c r="F15" s="582" t="inlineStr">
        <is>
          <t>市岡　裕次</t>
        </is>
      </c>
      <c r="G15" s="576" t="n"/>
      <c r="H15" s="577" t="n"/>
      <c r="I15" s="577" t="n"/>
      <c r="J15" s="577" t="n"/>
      <c r="K15" s="577" t="n"/>
      <c r="L15" s="577" t="n"/>
      <c r="M15" s="583">
        <f>TIME(0,35,0)</f>
        <v/>
      </c>
      <c r="N15" s="583">
        <f>N14+M15</f>
        <v/>
      </c>
      <c r="O15" s="577" t="n"/>
      <c r="P15" s="583">
        <f>TIME(0,40,0)</f>
        <v/>
      </c>
      <c r="Q15" s="583">
        <f>Q14+P15</f>
        <v/>
      </c>
      <c r="R15" s="577" t="n"/>
    </row>
    <row r="16" ht="24" customHeight="1">
      <c r="A16" s="573" t="n">
        <v>9</v>
      </c>
      <c r="B16" s="573" t="inlineStr">
        <is>
          <t>日</t>
        </is>
      </c>
      <c r="C16" s="574" t="n"/>
      <c r="D16" s="579" t="inlineStr">
        <is>
          <t>休み</t>
        </is>
      </c>
      <c r="E16" s="575" t="n"/>
      <c r="F16" s="576" t="n"/>
      <c r="G16" s="576" t="n"/>
      <c r="H16" s="577" t="n"/>
      <c r="I16" s="577" t="n"/>
      <c r="J16" s="577" t="n"/>
      <c r="K16" s="577" t="n"/>
      <c r="L16" s="577" t="n"/>
      <c r="M16" s="583">
        <f>TIME(0,10,0)</f>
        <v/>
      </c>
      <c r="N16" s="583">
        <f>N15+M16</f>
        <v/>
      </c>
      <c r="O16" s="584" t="n">
        <v>3</v>
      </c>
      <c r="P16" s="583">
        <f>TIME(0,10,0)</f>
        <v/>
      </c>
      <c r="Q16" s="583">
        <f>Q15+P16</f>
        <v/>
      </c>
      <c r="R16" s="584" t="n">
        <v>3</v>
      </c>
    </row>
    <row r="17" ht="24" customHeight="1">
      <c r="A17" s="461" t="n">
        <v>10</v>
      </c>
      <c r="B17" s="461" t="inlineStr">
        <is>
          <t>月</t>
        </is>
      </c>
      <c r="C17" s="427" t="n"/>
      <c r="D17" s="420" t="inlineStr">
        <is>
          <t>9:00～16:00</t>
        </is>
      </c>
      <c r="E17" s="421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573" t="n">
        <v>11</v>
      </c>
      <c r="B18" s="573" t="inlineStr">
        <is>
          <t>火</t>
        </is>
      </c>
      <c r="C18" s="578" t="inlineStr">
        <is>
          <t>山の日</t>
        </is>
      </c>
      <c r="D18" s="579" t="inlineStr">
        <is>
          <t>休み</t>
        </is>
      </c>
      <c r="E18" s="579" t="n"/>
      <c r="F18" s="576" t="n"/>
      <c r="G18" s="576" t="n"/>
      <c r="H18" s="577" t="n"/>
      <c r="I18" s="577" t="n"/>
      <c r="J18" s="577" t="n"/>
      <c r="K18" s="577" t="n"/>
      <c r="L18" s="577" t="n"/>
      <c r="M18" s="583">
        <f>TIME(0,10,0)</f>
        <v/>
      </c>
      <c r="N18" s="583">
        <f>N17+M18</f>
        <v/>
      </c>
      <c r="O18" s="584" t="n">
        <v>4</v>
      </c>
      <c r="P18" s="583">
        <f>TIME(0,10,0)</f>
        <v/>
      </c>
      <c r="Q18" s="583">
        <f>Q17+P18</f>
        <v/>
      </c>
      <c r="R18" s="584" t="n">
        <v>4</v>
      </c>
    </row>
    <row r="19" ht="24" customHeight="1">
      <c r="A19" s="461" t="n">
        <v>12</v>
      </c>
      <c r="B19" s="461" t="inlineStr">
        <is>
          <t>水</t>
        </is>
      </c>
      <c r="C19" s="428" t="inlineStr">
        <is>
          <t>学校閉庁日</t>
        </is>
      </c>
      <c r="D19" s="421" t="inlineStr">
        <is>
          <t>休み</t>
        </is>
      </c>
      <c r="E19" s="421" t="n"/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3.4" customHeight="1">
      <c r="A20" s="461" t="n">
        <v>13</v>
      </c>
      <c r="B20" s="461" t="inlineStr">
        <is>
          <t>木</t>
        </is>
      </c>
      <c r="C20" s="427" t="inlineStr">
        <is>
          <t>学校閉庁日</t>
        </is>
      </c>
      <c r="D20" s="420" t="inlineStr">
        <is>
          <t>本番（要確認）</t>
        </is>
      </c>
      <c r="E20" s="420" t="inlineStr">
        <is>
          <t>神奈川県吹奏楽コンクール 高校B部門 カルッツかわさき</t>
        </is>
      </c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461" t="n">
        <v>14</v>
      </c>
      <c r="B21" s="461" t="inlineStr">
        <is>
          <t>金</t>
        </is>
      </c>
      <c r="C21" s="427" t="inlineStr">
        <is>
          <t>学校閉庁日</t>
        </is>
      </c>
      <c r="D21" s="420" t="inlineStr">
        <is>
          <t>休み</t>
        </is>
      </c>
      <c r="E21" s="420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573" t="n">
        <v>15</v>
      </c>
      <c r="B22" s="573" t="inlineStr">
        <is>
          <t>土</t>
        </is>
      </c>
      <c r="C22" s="574" t="n"/>
      <c r="D22" s="579" t="inlineStr">
        <is>
          <t>休み</t>
        </is>
      </c>
      <c r="E22" s="575" t="n"/>
      <c r="F22" s="576" t="n"/>
      <c r="G22" s="576" t="n"/>
      <c r="H22" s="577" t="n"/>
      <c r="I22" s="577" t="n"/>
      <c r="J22" s="577" t="n"/>
      <c r="K22" s="577" t="n"/>
      <c r="L22" s="577" t="n"/>
      <c r="M22" s="583">
        <f>TIME(0,5,0)</f>
        <v/>
      </c>
      <c r="N22" s="583">
        <f>N21+M22</f>
        <v/>
      </c>
      <c r="O22" s="577" t="n"/>
      <c r="P22" s="583">
        <f>TIME(0,10,0)</f>
        <v/>
      </c>
      <c r="Q22" s="583">
        <f>Q21+P22</f>
        <v/>
      </c>
      <c r="R22" s="584" t="n">
        <v>6</v>
      </c>
    </row>
    <row r="23" ht="24" customHeight="1">
      <c r="A23" s="573" t="n">
        <v>16</v>
      </c>
      <c r="B23" s="573" t="inlineStr">
        <is>
          <t>日</t>
        </is>
      </c>
      <c r="C23" s="578" t="n"/>
      <c r="D23" s="579" t="inlineStr">
        <is>
          <t>休み</t>
        </is>
      </c>
      <c r="E23" s="575" t="n"/>
      <c r="F23" s="576" t="n"/>
      <c r="G23" s="576" t="n"/>
      <c r="H23" s="577" t="n"/>
      <c r="I23" s="577" t="n"/>
      <c r="J23" s="577" t="n"/>
      <c r="K23" s="577" t="n"/>
      <c r="L23" s="577" t="n"/>
      <c r="M23" s="583">
        <f>TIME(0,35,0)</f>
        <v/>
      </c>
      <c r="N23" s="577" t="n"/>
      <c r="O23" s="577" t="n"/>
      <c r="P23" s="583">
        <f>TIME(0,40,0)</f>
        <v/>
      </c>
      <c r="Q23" s="583">
        <f>Q22+P23</f>
        <v/>
      </c>
      <c r="R23" s="577" t="n"/>
    </row>
    <row r="24" ht="24" customHeight="1">
      <c r="A24" s="461" t="n">
        <v>17</v>
      </c>
      <c r="B24" s="461" t="inlineStr">
        <is>
          <t>月</t>
        </is>
      </c>
      <c r="C24" s="427" t="n"/>
      <c r="D24" s="420" t="inlineStr">
        <is>
          <t>休み</t>
        </is>
      </c>
      <c r="E24" s="420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461" t="n">
        <v>18</v>
      </c>
      <c r="B25" s="461" t="inlineStr">
        <is>
          <t>火</t>
        </is>
      </c>
      <c r="C25" s="427" t="n"/>
      <c r="D25" s="420" t="inlineStr">
        <is>
          <t>休み</t>
        </is>
      </c>
      <c r="E25" s="420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461" t="n">
        <v>19</v>
      </c>
      <c r="B26" s="461" t="inlineStr">
        <is>
          <t>水</t>
        </is>
      </c>
      <c r="C26" s="428" t="inlineStr">
        <is>
          <t>夏期講習・補習</t>
        </is>
      </c>
      <c r="D26" s="421" t="inlineStr">
        <is>
          <t>9:00～16:00</t>
        </is>
      </c>
      <c r="E26" s="421" t="n"/>
      <c r="F26" s="310" t="n"/>
      <c r="G26" s="310" t="n"/>
    </row>
    <row r="27" ht="24" customHeight="1">
      <c r="A27" s="461" t="n">
        <v>20</v>
      </c>
      <c r="B27" s="461" t="inlineStr">
        <is>
          <t>木</t>
        </is>
      </c>
      <c r="C27" s="427" t="inlineStr">
        <is>
          <t>夏期講習・補習</t>
        </is>
      </c>
      <c r="D27" s="420" t="inlineStr">
        <is>
          <t>9:00～16:00</t>
        </is>
      </c>
      <c r="E27" s="420" t="n"/>
      <c r="F27" s="310" t="n"/>
      <c r="G27" s="310" t="n"/>
    </row>
    <row r="28" ht="24" customHeight="1">
      <c r="A28" s="461" t="n">
        <v>21</v>
      </c>
      <c r="B28" s="461" t="inlineStr">
        <is>
          <t>金</t>
        </is>
      </c>
      <c r="C28" s="427" t="inlineStr">
        <is>
          <t>夏期講習・補習</t>
        </is>
      </c>
      <c r="D28" s="420" t="inlineStr">
        <is>
          <t>9:00～16:00</t>
        </is>
      </c>
      <c r="E28" s="420" t="n"/>
      <c r="F28" s="310" t="n"/>
      <c r="G28" s="310" t="n"/>
    </row>
    <row r="29" ht="24" customHeight="1">
      <c r="A29" s="573" t="n">
        <v>22</v>
      </c>
      <c r="B29" s="573" t="inlineStr">
        <is>
          <t>土</t>
        </is>
      </c>
      <c r="C29" s="574" t="n"/>
      <c r="D29" s="575" t="inlineStr">
        <is>
          <t>13:00～19:00</t>
        </is>
      </c>
      <c r="E29" s="575" t="inlineStr">
        <is>
          <t>麻生老人福祉センター夏祭り</t>
        </is>
      </c>
      <c r="F29" s="576" t="n"/>
      <c r="G29" s="576" t="n"/>
      <c r="H29" s="577" t="n"/>
      <c r="I29" s="577" t="n"/>
      <c r="J29" s="577" t="n"/>
      <c r="K29" s="577" t="n"/>
      <c r="L29" s="577" t="n"/>
      <c r="M29" s="577" t="n"/>
      <c r="N29" s="577" t="n"/>
      <c r="O29" s="577" t="n"/>
      <c r="P29" s="577" t="n"/>
      <c r="Q29" s="577" t="n"/>
      <c r="R29" s="577" t="n"/>
    </row>
    <row r="30" ht="23.4" customHeight="1">
      <c r="A30" s="573" t="n">
        <v>23</v>
      </c>
      <c r="B30" s="573" t="inlineStr">
        <is>
          <t>日</t>
        </is>
      </c>
      <c r="C30" s="574" t="n"/>
      <c r="D30" s="575" t="inlineStr">
        <is>
          <t>休み</t>
        </is>
      </c>
      <c r="E30" s="575" t="n"/>
      <c r="F30" s="576" t="n"/>
      <c r="G30" s="576" t="n"/>
      <c r="H30" s="577" t="n"/>
      <c r="I30" s="577" t="n"/>
      <c r="J30" s="577" t="n"/>
      <c r="K30" s="577" t="n"/>
      <c r="L30" s="577" t="n"/>
      <c r="M30" s="577" t="n"/>
      <c r="N30" s="577" t="n"/>
      <c r="O30" s="577" t="n"/>
      <c r="P30" s="577" t="n"/>
      <c r="Q30" s="577" t="n"/>
      <c r="R30" s="577" t="n"/>
    </row>
    <row r="31" ht="24" customHeight="1">
      <c r="A31" s="461" t="n">
        <v>24</v>
      </c>
      <c r="B31" s="461" t="inlineStr">
        <is>
          <t>月</t>
        </is>
      </c>
      <c r="C31" s="427" t="inlineStr">
        <is>
          <t>夏期講習・補習　（職員健康診断）　校内人権研修PM</t>
        </is>
      </c>
      <c r="D31" s="421" t="inlineStr">
        <is>
          <t>9:00～16:00</t>
        </is>
      </c>
      <c r="E31" s="420" t="n"/>
      <c r="F31" s="310" t="n"/>
      <c r="G31" s="310" t="n"/>
    </row>
    <row r="32" ht="24" customHeight="1">
      <c r="A32" s="461" t="n">
        <v>25</v>
      </c>
      <c r="B32" s="461" t="inlineStr">
        <is>
          <t>火</t>
        </is>
      </c>
      <c r="C32" s="427" t="inlineStr">
        <is>
          <t>夏期講習・補習　シューター訓練</t>
        </is>
      </c>
      <c r="D32" s="420" t="inlineStr">
        <is>
          <t>9:00～16:00</t>
        </is>
      </c>
      <c r="E32" s="420" t="n"/>
      <c r="F32" s="310" t="n"/>
      <c r="G32" s="310" t="n"/>
    </row>
    <row r="33" ht="24" customHeight="1">
      <c r="A33" s="461" t="n">
        <v>26</v>
      </c>
      <c r="B33" s="461" t="inlineStr">
        <is>
          <t>水</t>
        </is>
      </c>
      <c r="C33" s="428" t="inlineStr">
        <is>
          <t>夏季休業終了</t>
        </is>
      </c>
      <c r="D33" s="421" t="inlineStr">
        <is>
          <t>9:00～12:00</t>
        </is>
      </c>
      <c r="E33" s="421" t="n"/>
      <c r="F33" s="310" t="n"/>
      <c r="G33" s="310" t="n"/>
    </row>
    <row r="34" ht="24" customHeight="1">
      <c r="A34" s="461" t="n">
        <v>27</v>
      </c>
      <c r="B34" s="461" t="inlineStr">
        <is>
          <t>木</t>
        </is>
      </c>
      <c r="C34" s="427" t="inlineStr">
        <is>
          <t>２学期始業式（40×6）　職員会議</t>
        </is>
      </c>
      <c r="D34" s="420" t="inlineStr">
        <is>
          <t>～17:00</t>
        </is>
      </c>
      <c r="E34" s="420" t="n"/>
      <c r="F34" s="310" t="n"/>
      <c r="G34" s="310" t="n"/>
    </row>
    <row r="35" ht="24" customHeight="1">
      <c r="A35" s="461" t="n">
        <v>28</v>
      </c>
      <c r="B35" s="461" t="inlineStr">
        <is>
          <t>金</t>
        </is>
      </c>
      <c r="C35" s="427" t="inlineStr">
        <is>
          <t>1,2年：外部試験（全日）　3年：午前授業　SSW</t>
        </is>
      </c>
      <c r="D35" s="420" t="inlineStr">
        <is>
          <t>～18:00</t>
        </is>
      </c>
      <c r="E35" s="420" t="n"/>
      <c r="F35" s="310" t="n"/>
      <c r="G35" s="310" t="n"/>
    </row>
    <row r="36" ht="24" customHeight="1">
      <c r="A36" s="573" t="n">
        <v>29</v>
      </c>
      <c r="B36" s="573" t="inlineStr">
        <is>
          <t>土</t>
        </is>
      </c>
      <c r="C36" s="574" t="inlineStr">
        <is>
          <t>PTA役員会（AM）</t>
        </is>
      </c>
      <c r="D36" s="575" t="inlineStr">
        <is>
          <t>9:00～16:00</t>
        </is>
      </c>
      <c r="E36" s="575" t="n"/>
      <c r="F36" s="576" t="n"/>
      <c r="G36" s="576" t="n"/>
      <c r="H36" s="577" t="n"/>
      <c r="I36" s="577" t="n"/>
      <c r="J36" s="577" t="n"/>
      <c r="K36" s="577" t="n"/>
      <c r="L36" s="577" t="n"/>
      <c r="M36" s="577" t="n"/>
      <c r="N36" s="577" t="n"/>
      <c r="O36" s="577" t="n"/>
      <c r="P36" s="577" t="n"/>
      <c r="Q36" s="577" t="n"/>
      <c r="R36" s="577" t="n"/>
    </row>
    <row r="37" ht="24" customHeight="1">
      <c r="A37" s="573" t="n">
        <v>30</v>
      </c>
      <c r="B37" s="573" t="inlineStr">
        <is>
          <t>日</t>
        </is>
      </c>
      <c r="C37" s="574" t="n"/>
      <c r="D37" s="575" t="inlineStr">
        <is>
          <t>休み</t>
        </is>
      </c>
      <c r="E37" s="575" t="n"/>
      <c r="F37" s="576" t="n"/>
      <c r="G37" s="576" t="n"/>
      <c r="H37" s="577" t="n"/>
      <c r="I37" s="577" t="n"/>
      <c r="J37" s="577" t="n"/>
      <c r="K37" s="577" t="n"/>
      <c r="L37" s="577" t="n"/>
      <c r="M37" s="577" t="n"/>
      <c r="N37" s="577" t="n"/>
      <c r="O37" s="577" t="n"/>
      <c r="P37" s="577" t="n"/>
      <c r="Q37" s="577" t="n"/>
      <c r="R37" s="577" t="n"/>
    </row>
    <row r="38" ht="24" customHeight="1" thickBot="1">
      <c r="A38" s="463" t="n">
        <v>31</v>
      </c>
      <c r="B38" s="461" t="inlineStr">
        <is>
          <t>月</t>
        </is>
      </c>
      <c r="C38" s="428" t="inlineStr">
        <is>
          <t>第１回推薦願締切　SC</t>
        </is>
      </c>
      <c r="D38" s="421" t="inlineStr">
        <is>
          <t>～18:00</t>
        </is>
      </c>
      <c r="E38" s="421" t="n"/>
      <c r="F38" s="310" t="n"/>
      <c r="G38" s="310" t="n"/>
      <c r="L38" s="1">
        <f>+M33</f>
        <v/>
      </c>
    </row>
    <row r="39" ht="126.75" customHeight="1" thickBot="1">
      <c r="A39" s="524" t="inlineStr">
        <is>
          <t>学年会（火）、蔵書点検、プール水質検査・ダニアレルゲン検査、衛生委員会、転編入学者選抜</t>
        </is>
      </c>
      <c r="B39" s="525" t="n"/>
      <c r="C39" s="525" t="n"/>
      <c r="D39" s="525" t="n"/>
      <c r="E39" s="526" t="n"/>
      <c r="F39" s="345" t="n"/>
      <c r="G39" s="345" t="n"/>
    </row>
  </sheetData>
  <mergeCells count="7">
    <mergeCell ref="A39:E39"/>
    <mergeCell ref="A4:C4"/>
    <mergeCell ref="A1:C1"/>
    <mergeCell ref="A5:C5"/>
    <mergeCell ref="A3:C3"/>
    <mergeCell ref="A6:E6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4" horizontalDpi="4294967294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R39"/>
  <sheetViews>
    <sheetView tabSelected="1" view="pageBreakPreview" topLeftCell="A14" zoomScale="85" zoomScaleNormal="100" zoomScaleSheetLayoutView="85" workbookViewId="0">
      <selection activeCell="E9" sqref="E9"/>
    </sheetView>
  </sheetViews>
  <sheetFormatPr baseColWidth="8" defaultColWidth="9" defaultRowHeight="13.2"/>
  <cols>
    <col width="6.109375" bestFit="1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407" t="inlineStr">
        <is>
          <t>2026年度　令和8年　7月　吹奏楽部活動予定（超ざっくり）</t>
        </is>
      </c>
      <c r="B7" s="408" t="n"/>
      <c r="C7" s="408" t="n"/>
      <c r="D7" s="408" t="n"/>
      <c r="E7" s="409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461" t="n">
        <v>1</v>
      </c>
      <c r="B8" s="461" t="inlineStr">
        <is>
          <t>水</t>
        </is>
      </c>
      <c r="C8" s="428" t="inlineStr">
        <is>
          <t>期末テスト最終日</t>
        </is>
      </c>
      <c r="D8" s="421" t="inlineStr">
        <is>
          <t>～16:00</t>
        </is>
      </c>
      <c r="E8" s="421" t="n"/>
      <c r="F8" s="310" t="inlineStr">
        <is>
          <t>１行  15.75</t>
        </is>
      </c>
      <c r="G8" s="310" t="n"/>
    </row>
    <row r="9" ht="24" customHeight="1">
      <c r="A9" s="461" t="n">
        <v>2</v>
      </c>
      <c r="B9" s="461" t="inlineStr">
        <is>
          <t>木</t>
        </is>
      </c>
      <c r="C9" s="427" t="inlineStr">
        <is>
          <t>特別時間割①～⑥</t>
        </is>
      </c>
      <c r="D9" s="420" t="inlineStr">
        <is>
          <t>～17:00</t>
        </is>
      </c>
      <c r="E9" s="420" t="n"/>
      <c r="F9" s="310" t="inlineStr">
        <is>
          <t>MSPゴシック１２　日・曜日・行事</t>
        </is>
      </c>
      <c r="G9" s="310" t="n"/>
    </row>
    <row r="10" ht="24" customHeight="1">
      <c r="A10" s="461" t="n">
        <v>3</v>
      </c>
      <c r="B10" s="461" t="inlineStr">
        <is>
          <t>金</t>
        </is>
      </c>
      <c r="C10" s="427" t="inlineStr">
        <is>
          <t>特別時間割①～⑥</t>
        </is>
      </c>
      <c r="D10" s="420" t="inlineStr">
        <is>
          <t>～17:00</t>
        </is>
      </c>
      <c r="E10" s="420" t="n"/>
      <c r="F10" s="310" t="n"/>
      <c r="G10" s="310" t="n"/>
    </row>
    <row r="11" ht="24" customHeight="1">
      <c r="A11" s="462" t="n">
        <v>4</v>
      </c>
      <c r="B11" s="462" t="inlineStr">
        <is>
          <t>土</t>
        </is>
      </c>
      <c r="C11" s="430" t="n"/>
      <c r="D11" s="423" t="inlineStr">
        <is>
          <t>9:00～16:00</t>
        </is>
      </c>
      <c r="E11" s="423" t="inlineStr">
        <is>
          <t>綾瀬中学校と合同練習</t>
        </is>
      </c>
      <c r="F11" s="310" t="n"/>
      <c r="G11" s="310" t="n"/>
    </row>
    <row r="12" ht="24" customHeight="1">
      <c r="A12" s="462" t="n">
        <v>5</v>
      </c>
      <c r="B12" s="462" t="inlineStr">
        <is>
          <t>日</t>
        </is>
      </c>
      <c r="C12" s="429" t="n"/>
      <c r="D12" s="422" t="inlineStr">
        <is>
          <t>休み</t>
        </is>
      </c>
      <c r="E12" s="422" t="n"/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461" t="n">
        <v>6</v>
      </c>
      <c r="B13" s="461" t="inlineStr">
        <is>
          <t>月</t>
        </is>
      </c>
      <c r="C13" s="427" t="inlineStr">
        <is>
          <t>特別時間割①～⑥</t>
        </is>
      </c>
      <c r="D13" s="420" t="inlineStr">
        <is>
          <t>休み</t>
        </is>
      </c>
      <c r="E13" s="420" t="n"/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461" t="n">
        <v>7</v>
      </c>
      <c r="B14" s="461" t="inlineStr">
        <is>
          <t>火</t>
        </is>
      </c>
      <c r="C14" s="427" t="inlineStr">
        <is>
          <t>40×5　⑤素点・欠時表配付　文化祭試食会</t>
        </is>
      </c>
      <c r="D14" s="420" t="inlineStr">
        <is>
          <t>～17:00</t>
        </is>
      </c>
      <c r="E14" s="420" t="inlineStr">
        <is>
          <t>野球応援この週にあるかも</t>
        </is>
      </c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461" t="n">
        <v>8</v>
      </c>
      <c r="B15" s="461" t="inlineStr">
        <is>
          <t>水</t>
        </is>
      </c>
      <c r="C15" s="428" t="inlineStr">
        <is>
          <t>40×5</t>
        </is>
      </c>
      <c r="D15" s="420" t="inlineStr">
        <is>
          <t>～17:00</t>
        </is>
      </c>
      <c r="E15" s="421" t="n"/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461" t="n">
        <v>9</v>
      </c>
      <c r="B16" s="461" t="inlineStr">
        <is>
          <t>木</t>
        </is>
      </c>
      <c r="C16" s="428" t="inlineStr">
        <is>
          <t>40×5　教科会</t>
        </is>
      </c>
      <c r="D16" s="420" t="inlineStr">
        <is>
          <t>～17:00</t>
        </is>
      </c>
      <c r="E16" s="421" t="n"/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461" t="n">
        <v>10</v>
      </c>
      <c r="B17" s="461" t="inlineStr">
        <is>
          <t>金</t>
        </is>
      </c>
      <c r="C17" s="427" t="inlineStr">
        <is>
          <t>40×5　データ点検　成績入力締切　文化祭二次企画書提出締切　文化祭貸付金申込書提出締切</t>
        </is>
      </c>
      <c r="D17" s="420" t="inlineStr">
        <is>
          <t>～17:00</t>
        </is>
      </c>
      <c r="E17" s="421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462" t="n">
        <v>11</v>
      </c>
      <c r="B18" s="462" t="inlineStr">
        <is>
          <t>土</t>
        </is>
      </c>
      <c r="C18" s="430" t="n"/>
      <c r="D18" s="423" t="inlineStr">
        <is>
          <t>9:00～16:00</t>
        </is>
      </c>
      <c r="E18" s="423" t="n"/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462" t="n">
        <v>12</v>
      </c>
      <c r="B19" s="462" t="inlineStr">
        <is>
          <t>日</t>
        </is>
      </c>
      <c r="C19" s="429" t="n"/>
      <c r="D19" s="422" t="inlineStr">
        <is>
          <t>休み</t>
        </is>
      </c>
      <c r="E19" s="422" t="n"/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3.4" customHeight="1">
      <c r="A20" s="461" t="n">
        <v>13</v>
      </c>
      <c r="B20" s="461" t="inlineStr">
        <is>
          <t>月</t>
        </is>
      </c>
      <c r="C20" s="427" t="inlineStr">
        <is>
          <t>40×5　成績一斉点検</t>
        </is>
      </c>
      <c r="D20" s="420" t="inlineStr">
        <is>
          <t>ホール練習</t>
        </is>
      </c>
      <c r="E20" s="420" t="inlineStr">
        <is>
          <t>宮前市民館</t>
        </is>
      </c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461" t="n">
        <v>14</v>
      </c>
      <c r="B21" s="461" t="inlineStr">
        <is>
          <t>火</t>
        </is>
      </c>
      <c r="C21" s="427" t="inlineStr">
        <is>
          <t>40×5　学年会　一覧表点検・提出</t>
        </is>
      </c>
      <c r="D21" s="420" t="inlineStr">
        <is>
          <t>ホール練習</t>
        </is>
      </c>
      <c r="E21" s="420" t="inlineStr">
        <is>
          <t>宮前市民館</t>
        </is>
      </c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461" t="n">
        <v>15</v>
      </c>
      <c r="B22" s="461" t="inlineStr">
        <is>
          <t>水</t>
        </is>
      </c>
      <c r="C22" s="428" t="inlineStr">
        <is>
          <t>40×5　成績会議　職員会議</t>
        </is>
      </c>
      <c r="D22" s="420" t="inlineStr">
        <is>
          <t>～17:00</t>
        </is>
      </c>
      <c r="E22" s="421" t="n"/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461" t="n">
        <v>16</v>
      </c>
      <c r="B23" s="461" t="inlineStr">
        <is>
          <t>木</t>
        </is>
      </c>
      <c r="C23" s="427" t="inlineStr">
        <is>
          <t>40×5　⑤通知表データ確認　調査書準備　第2回いじめ防止推進会議　文化祭後夜祭オーディション</t>
        </is>
      </c>
      <c r="D23" s="420" t="inlineStr">
        <is>
          <t>～17:00</t>
        </is>
      </c>
      <c r="E23" s="421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461" t="n">
        <v>17</v>
      </c>
      <c r="B24" s="461" t="inlineStr">
        <is>
          <t>金</t>
        </is>
      </c>
      <c r="C24" s="427" t="inlineStr">
        <is>
          <t>大掃除・終業式・LHR　指定校公開　調査書点検①</t>
        </is>
      </c>
      <c r="D24" s="420" t="inlineStr">
        <is>
          <t>～17:00</t>
        </is>
      </c>
      <c r="E24" s="420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462" t="n">
        <v>18</v>
      </c>
      <c r="B25" s="462" t="inlineStr">
        <is>
          <t>土</t>
        </is>
      </c>
      <c r="C25" s="430" t="n"/>
      <c r="D25" s="423" t="inlineStr">
        <is>
          <t>9:00～16:00</t>
        </is>
      </c>
      <c r="E25" s="423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462" t="n">
        <v>19</v>
      </c>
      <c r="B26" s="462" t="inlineStr">
        <is>
          <t>日</t>
        </is>
      </c>
      <c r="C26" s="429" t="n"/>
      <c r="D26" s="422" t="inlineStr">
        <is>
          <t>休み</t>
        </is>
      </c>
      <c r="E26" s="422" t="n"/>
      <c r="F26" s="310" t="n"/>
      <c r="G26" s="310" t="n"/>
    </row>
    <row r="27" ht="24" customHeight="1">
      <c r="A27" s="462" t="n">
        <v>20</v>
      </c>
      <c r="B27" s="462" t="inlineStr">
        <is>
          <t>月</t>
        </is>
      </c>
      <c r="C27" s="430" t="inlineStr">
        <is>
          <t>海の日</t>
        </is>
      </c>
      <c r="D27" s="423" t="inlineStr">
        <is>
          <t>9:00～16:00</t>
        </is>
      </c>
      <c r="E27" s="423" t="n"/>
      <c r="F27" s="310" t="n"/>
      <c r="G27" s="310" t="n"/>
    </row>
    <row r="28" ht="24" customHeight="1">
      <c r="A28" s="461" t="n">
        <v>21</v>
      </c>
      <c r="B28" s="461" t="inlineStr">
        <is>
          <t>火</t>
        </is>
      </c>
      <c r="C28" s="427" t="inlineStr">
        <is>
          <t>夏季休業開始　調査書点検②</t>
        </is>
      </c>
      <c r="D28" s="420" t="inlineStr">
        <is>
          <t>9:00～16:00</t>
        </is>
      </c>
      <c r="E28" s="420" t="n"/>
      <c r="F28" s="310" t="n"/>
      <c r="G28" s="310" t="n"/>
    </row>
    <row r="29" ht="24" customHeight="1">
      <c r="A29" s="461" t="n">
        <v>22</v>
      </c>
      <c r="B29" s="461" t="inlineStr">
        <is>
          <t>水</t>
        </is>
      </c>
      <c r="C29" s="428" t="inlineStr">
        <is>
          <t>夏期講習・補習</t>
        </is>
      </c>
      <c r="D29" s="421" t="inlineStr">
        <is>
          <t>合宿</t>
        </is>
      </c>
      <c r="E29" s="421" t="inlineStr">
        <is>
          <t>→鉱泉閣</t>
        </is>
      </c>
      <c r="F29" s="310" t="n"/>
      <c r="G29" s="310" t="n"/>
    </row>
    <row r="30" ht="23.4" customHeight="1">
      <c r="A30" s="461" t="n">
        <v>23</v>
      </c>
      <c r="B30" s="461" t="inlineStr">
        <is>
          <t>木</t>
        </is>
      </c>
      <c r="C30" s="428" t="inlineStr">
        <is>
          <t>夏期講習・補習</t>
        </is>
      </c>
      <c r="D30" s="421" t="inlineStr">
        <is>
          <t>合宿</t>
        </is>
      </c>
      <c r="E30" s="421" t="inlineStr">
        <is>
          <t>鉱泉閣</t>
        </is>
      </c>
      <c r="F30" s="310" t="n"/>
      <c r="G30" s="310" t="n"/>
    </row>
    <row r="31" ht="24" customHeight="1">
      <c r="A31" s="461" t="n">
        <v>24</v>
      </c>
      <c r="B31" s="461" t="inlineStr">
        <is>
          <t>金</t>
        </is>
      </c>
      <c r="C31" s="427" t="inlineStr">
        <is>
          <t>夏期講習・補習</t>
        </is>
      </c>
      <c r="D31" s="421" t="inlineStr">
        <is>
          <t>合宿</t>
        </is>
      </c>
      <c r="E31" s="420" t="inlineStr">
        <is>
          <t>鉱泉閣→ふじさんホール</t>
        </is>
      </c>
      <c r="F31" s="310" t="n"/>
      <c r="G31" s="310" t="n"/>
    </row>
    <row r="32" ht="24" customHeight="1">
      <c r="A32" s="462" t="n">
        <v>25</v>
      </c>
      <c r="B32" s="462" t="inlineStr">
        <is>
          <t>土</t>
        </is>
      </c>
      <c r="C32" s="430" t="n"/>
      <c r="D32" s="423" t="inlineStr">
        <is>
          <t>9:00～16:00</t>
        </is>
      </c>
      <c r="E32" s="423" t="n"/>
      <c r="F32" s="310" t="n"/>
      <c r="G32" s="310" t="n"/>
    </row>
    <row r="33" ht="24" customHeight="1">
      <c r="A33" s="462" t="n">
        <v>26</v>
      </c>
      <c r="B33" s="462" t="inlineStr">
        <is>
          <t>日</t>
        </is>
      </c>
      <c r="C33" s="429" t="inlineStr">
        <is>
          <t>第1回同窓会役員会</t>
        </is>
      </c>
      <c r="D33" s="422" t="inlineStr">
        <is>
          <t>休み</t>
        </is>
      </c>
      <c r="E33" s="422" t="n"/>
      <c r="F33" s="310" t="n"/>
      <c r="G33" s="310" t="n"/>
    </row>
    <row r="34" ht="24" customHeight="1">
      <c r="A34" s="461" t="n">
        <v>27</v>
      </c>
      <c r="B34" s="461" t="inlineStr">
        <is>
          <t>月</t>
        </is>
      </c>
      <c r="C34" s="427" t="inlineStr">
        <is>
          <t>夏期講習・補習</t>
        </is>
      </c>
      <c r="D34" s="420" t="inlineStr">
        <is>
          <t>9:00～16:00</t>
        </is>
      </c>
      <c r="E34" s="420" t="n"/>
      <c r="F34" s="310" t="n"/>
      <c r="G34" s="310" t="n"/>
    </row>
    <row r="35" ht="24" customHeight="1">
      <c r="A35" s="461" t="n">
        <v>28</v>
      </c>
      <c r="B35" s="461" t="inlineStr">
        <is>
          <t>火</t>
        </is>
      </c>
      <c r="C35" s="427" t="inlineStr">
        <is>
          <t>夏期講習・補習</t>
        </is>
      </c>
      <c r="D35" s="420" t="inlineStr">
        <is>
          <t>9:00～16:00</t>
        </is>
      </c>
      <c r="E35" s="420" t="n"/>
      <c r="F35" s="310" t="n"/>
      <c r="G35" s="310" t="n"/>
    </row>
    <row r="36" ht="24" customHeight="1">
      <c r="A36" s="461" t="n">
        <v>29</v>
      </c>
      <c r="B36" s="461" t="inlineStr">
        <is>
          <t>水</t>
        </is>
      </c>
      <c r="C36" s="428" t="n"/>
      <c r="D36" s="421" t="inlineStr">
        <is>
          <t>本番</t>
        </is>
      </c>
      <c r="E36" s="421" t="inlineStr">
        <is>
          <t>川崎吹奏楽コンクール</t>
        </is>
      </c>
      <c r="F36" s="310" t="n"/>
      <c r="G36" s="310" t="n"/>
    </row>
    <row r="37" ht="24" customHeight="1">
      <c r="A37" s="461" t="n">
        <v>30</v>
      </c>
      <c r="B37" s="461" t="inlineStr">
        <is>
          <t>木</t>
        </is>
      </c>
      <c r="C37" s="428" t="n"/>
      <c r="D37" s="421" t="inlineStr">
        <is>
          <t>片付け</t>
        </is>
      </c>
      <c r="E37" s="421" t="n"/>
      <c r="F37" s="310" t="n"/>
      <c r="G37" s="310" t="n"/>
    </row>
    <row r="38" ht="24" customHeight="1" thickBot="1">
      <c r="A38" s="463" t="n">
        <v>31</v>
      </c>
      <c r="B38" s="461" t="inlineStr">
        <is>
          <t>金</t>
        </is>
      </c>
      <c r="C38" s="428" t="n"/>
      <c r="D38" s="421" t="inlineStr">
        <is>
          <t>？</t>
        </is>
      </c>
      <c r="E38" s="421" t="n"/>
      <c r="F38" s="310" t="n"/>
      <c r="G38" s="310" t="n"/>
      <c r="L38" s="1">
        <f>+M33</f>
        <v/>
      </c>
    </row>
    <row r="39" ht="126.75" customHeight="1" thickBot="1">
      <c r="A39" s="524" t="n"/>
      <c r="B39" s="525" t="n"/>
      <c r="C39" s="525" t="n"/>
      <c r="D39" s="525" t="n"/>
      <c r="E39" s="526" t="n"/>
      <c r="F39" s="345" t="n"/>
      <c r="G39" s="345" t="n"/>
    </row>
  </sheetData>
  <mergeCells count="7">
    <mergeCell ref="A39:E39"/>
    <mergeCell ref="A4:C4"/>
    <mergeCell ref="A1:C1"/>
    <mergeCell ref="A5:C5"/>
    <mergeCell ref="A3:C3"/>
    <mergeCell ref="A6:E6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4" horizontalDpi="4294967294"/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R39"/>
  <sheetViews>
    <sheetView view="pageBreakPreview" zoomScale="85" zoomScaleNormal="100" zoomScaleSheetLayoutView="85" workbookViewId="0">
      <selection activeCell="E33" sqref="E33"/>
    </sheetView>
  </sheetViews>
  <sheetFormatPr baseColWidth="8" defaultColWidth="9" defaultRowHeight="13.2"/>
  <cols>
    <col width="5.5546875" bestFit="1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407" t="inlineStr">
        <is>
          <t>2025年度　令和8年　2月　吹奏楽部活動予定（かなりざっくり）</t>
        </is>
      </c>
      <c r="B7" s="408" t="n"/>
      <c r="C7" s="408" t="n"/>
      <c r="D7" s="408" t="n"/>
      <c r="E7" s="409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447" t="n">
        <v>1</v>
      </c>
      <c r="B8" s="443" t="inlineStr">
        <is>
          <t>日</t>
        </is>
      </c>
      <c r="C8" s="335" t="n"/>
      <c r="D8" s="458" t="inlineStr">
        <is>
          <t>休み</t>
        </is>
      </c>
      <c r="E8" s="335" t="n"/>
      <c r="F8" s="310" t="inlineStr">
        <is>
          <t>１行  15.75</t>
        </is>
      </c>
      <c r="G8" s="310" t="n"/>
    </row>
    <row r="9" ht="24" customHeight="1">
      <c r="A9" s="450" t="n">
        <v>2</v>
      </c>
      <c r="B9" s="442" t="inlineStr">
        <is>
          <t>月</t>
        </is>
      </c>
      <c r="C9" s="453" t="inlineStr">
        <is>
          <t>短縮40×7　データ点検</t>
        </is>
      </c>
      <c r="D9" s="459" t="inlineStr">
        <is>
          <t>休み</t>
        </is>
      </c>
      <c r="E9" s="453" t="n"/>
      <c r="F9" s="310" t="inlineStr">
        <is>
          <t>MSPゴシック１２　日・曜日・行事</t>
        </is>
      </c>
      <c r="G9" s="310" t="n"/>
    </row>
    <row r="10" ht="24" customHeight="1">
      <c r="A10" s="450" t="n">
        <v>3</v>
      </c>
      <c r="B10" s="442" t="inlineStr">
        <is>
          <t>火</t>
        </is>
      </c>
      <c r="C10" s="331" t="inlineStr">
        <is>
          <t xml:space="preserve">40×6　一斉点検・個票提出  </t>
        </is>
      </c>
      <c r="D10" s="459" t="inlineStr">
        <is>
          <t>～18:00</t>
        </is>
      </c>
      <c r="E10" s="331" t="n"/>
      <c r="F10" s="310" t="n"/>
      <c r="G10" s="310" t="n"/>
    </row>
    <row r="11" ht="24" customHeight="1">
      <c r="A11" s="450" t="n">
        <v>4</v>
      </c>
      <c r="B11" s="442" t="inlineStr">
        <is>
          <t>水</t>
        </is>
      </c>
      <c r="C11" s="331" t="inlineStr">
        <is>
          <t>学年会・一覧表提出</t>
        </is>
      </c>
      <c r="D11" s="459" t="inlineStr">
        <is>
          <t>～18:00</t>
        </is>
      </c>
      <c r="E11" s="331" t="n"/>
      <c r="F11" s="310" t="n"/>
      <c r="G11" s="310" t="n"/>
    </row>
    <row r="12" ht="24" customHeight="1">
      <c r="A12" s="450" t="n">
        <v>5</v>
      </c>
      <c r="B12" s="442" t="inlineStr">
        <is>
          <t>木</t>
        </is>
      </c>
      <c r="C12" s="334" t="inlineStr">
        <is>
          <t>45×6　卒業判定会議　SC来校</t>
        </is>
      </c>
      <c r="D12" s="459" t="inlineStr">
        <is>
          <t>～18:00</t>
        </is>
      </c>
      <c r="E12" s="334" t="n"/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452" t="n">
        <v>6</v>
      </c>
      <c r="B13" s="442" t="inlineStr">
        <is>
          <t>金</t>
        </is>
      </c>
      <c r="C13" s="331" t="inlineStr">
        <is>
          <t xml:space="preserve">職員会議 　SSW来校 </t>
        </is>
      </c>
      <c r="D13" s="459" t="inlineStr">
        <is>
          <t>～18:00</t>
        </is>
      </c>
      <c r="E13" s="331" t="n"/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447" t="n">
        <v>7</v>
      </c>
      <c r="B14" s="443" t="inlineStr">
        <is>
          <t>土</t>
        </is>
      </c>
      <c r="C14" s="335" t="n"/>
      <c r="D14" s="458" t="inlineStr">
        <is>
          <t>～18:00</t>
        </is>
      </c>
      <c r="E14" s="335" t="n"/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449" t="n">
        <v>8</v>
      </c>
      <c r="B15" s="443" t="inlineStr">
        <is>
          <t>日</t>
        </is>
      </c>
      <c r="C15" s="335" t="n"/>
      <c r="D15" s="458" t="inlineStr">
        <is>
          <t>休み</t>
        </is>
      </c>
      <c r="E15" s="335" t="n"/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450" t="n">
        <v>9</v>
      </c>
      <c r="B16" s="442" t="inlineStr">
        <is>
          <t>月</t>
        </is>
      </c>
      <c r="C16" s="331" t="n"/>
      <c r="D16" s="459" t="inlineStr">
        <is>
          <t>休み</t>
        </is>
      </c>
      <c r="E16" s="331" t="n"/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450" t="n">
        <v>10</v>
      </c>
      <c r="B17" s="442" t="inlineStr">
        <is>
          <t>火</t>
        </is>
      </c>
      <c r="C17" s="331" t="n"/>
      <c r="D17" s="459" t="inlineStr">
        <is>
          <t>～18:00</t>
        </is>
      </c>
      <c r="E17" s="331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447" t="n">
        <v>11</v>
      </c>
      <c r="B18" s="443" t="inlineStr">
        <is>
          <t>水</t>
        </is>
      </c>
      <c r="C18" s="335" t="inlineStr">
        <is>
          <t>建国記念の日</t>
        </is>
      </c>
      <c r="D18" s="458" t="inlineStr">
        <is>
          <t>9:00～16:00</t>
        </is>
      </c>
      <c r="E18" s="335" t="n"/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450" t="n">
        <v>12</v>
      </c>
      <c r="B19" s="442" t="inlineStr">
        <is>
          <t>木</t>
        </is>
      </c>
      <c r="C19" s="331" t="inlineStr">
        <is>
          <t>SC来校</t>
        </is>
      </c>
      <c r="D19" s="459" t="inlineStr">
        <is>
          <t>～18:00</t>
        </is>
      </c>
      <c r="E19" s="331" t="n"/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452" t="n">
        <v>13</v>
      </c>
      <c r="B20" s="442" t="inlineStr">
        <is>
          <t>金</t>
        </is>
      </c>
      <c r="C20" s="334" t="inlineStr">
        <is>
          <t>火曜授業</t>
        </is>
      </c>
      <c r="D20" s="459" t="inlineStr">
        <is>
          <t>～18:00</t>
        </is>
      </c>
      <c r="E20" s="334" t="n"/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447" t="n">
        <v>14</v>
      </c>
      <c r="B21" s="443" t="inlineStr">
        <is>
          <t>土</t>
        </is>
      </c>
      <c r="C21" s="335" t="n"/>
      <c r="D21" s="458" t="inlineStr">
        <is>
          <t>9:00～16:00</t>
        </is>
      </c>
      <c r="E21" s="335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447" t="n">
        <v>15</v>
      </c>
      <c r="B22" s="443" t="inlineStr">
        <is>
          <t>日</t>
        </is>
      </c>
      <c r="C22" s="335" t="n"/>
      <c r="D22" s="458" t="inlineStr">
        <is>
          <t>休み</t>
        </is>
      </c>
      <c r="E22" s="335" t="n"/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452" t="n">
        <v>16</v>
      </c>
      <c r="B23" s="442" t="inlineStr">
        <is>
          <t>月</t>
        </is>
      </c>
      <c r="C23" s="331" t="inlineStr">
        <is>
          <t>月⑤⑥⑦＋大掃除　13：30完全下校</t>
        </is>
      </c>
      <c r="D23" s="459" t="inlineStr">
        <is>
          <t>休み</t>
        </is>
      </c>
      <c r="E23" s="331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450" t="n">
        <v>17</v>
      </c>
      <c r="B24" s="442" t="inlineStr">
        <is>
          <t>火</t>
        </is>
      </c>
      <c r="C24" s="331" t="inlineStr">
        <is>
          <t>生徒登校禁止</t>
        </is>
      </c>
      <c r="D24" s="459" t="inlineStr">
        <is>
          <t>休み</t>
        </is>
      </c>
      <c r="E24" s="331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450" t="n">
        <v>18</v>
      </c>
      <c r="B25" s="442" t="inlineStr">
        <is>
          <t>水</t>
        </is>
      </c>
      <c r="C25" s="331" t="inlineStr">
        <is>
          <t>生徒登校禁止</t>
        </is>
      </c>
      <c r="D25" s="459" t="inlineStr">
        <is>
          <t>休み</t>
        </is>
      </c>
      <c r="E25" s="331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450" t="n">
        <v>19</v>
      </c>
      <c r="B26" s="442" t="inlineStr">
        <is>
          <t>木</t>
        </is>
      </c>
      <c r="C26" s="331" t="inlineStr">
        <is>
          <t>生徒登校禁止</t>
        </is>
      </c>
      <c r="D26" s="459" t="inlineStr">
        <is>
          <t>休み</t>
        </is>
      </c>
      <c r="E26" s="331" t="n"/>
      <c r="F26" s="310" t="n"/>
      <c r="G26" s="310" t="n"/>
    </row>
    <row r="27" ht="24" customHeight="1">
      <c r="A27" s="452" t="n">
        <v>20</v>
      </c>
      <c r="B27" s="442" t="inlineStr">
        <is>
          <t>金</t>
        </is>
      </c>
      <c r="C27" s="331" t="inlineStr">
        <is>
          <t>SSW来校</t>
        </is>
      </c>
      <c r="D27" s="459" t="inlineStr">
        <is>
          <t>～18:00</t>
        </is>
      </c>
      <c r="E27" s="331" t="n"/>
      <c r="F27" s="310" t="n"/>
      <c r="G27" s="310" t="n"/>
    </row>
    <row r="28" ht="24" customHeight="1">
      <c r="A28" s="447" t="n">
        <v>21</v>
      </c>
      <c r="B28" s="443" t="inlineStr">
        <is>
          <t>土</t>
        </is>
      </c>
      <c r="C28" s="335" t="n"/>
      <c r="D28" s="458" t="inlineStr">
        <is>
          <t>9:00～16:00</t>
        </is>
      </c>
      <c r="E28" s="335" t="n"/>
      <c r="F28" s="310" t="n"/>
      <c r="G28" s="310" t="n"/>
    </row>
    <row r="29" ht="24" customHeight="1">
      <c r="A29" s="447" t="n">
        <v>22</v>
      </c>
      <c r="B29" s="443" t="inlineStr">
        <is>
          <t>日</t>
        </is>
      </c>
      <c r="C29" s="335" t="n"/>
      <c r="D29" s="458" t="inlineStr">
        <is>
          <t>休み</t>
        </is>
      </c>
      <c r="E29" s="335" t="n"/>
      <c r="F29" s="310" t="n"/>
      <c r="G29" s="310" t="n"/>
    </row>
    <row r="30" ht="24" customHeight="1">
      <c r="A30" s="447" t="n">
        <v>23</v>
      </c>
      <c r="B30" s="443" t="inlineStr">
        <is>
          <t>月</t>
        </is>
      </c>
      <c r="C30" s="335" t="inlineStr">
        <is>
          <t>天皇誕生日</t>
        </is>
      </c>
      <c r="D30" s="458" t="inlineStr">
        <is>
          <t>休み</t>
        </is>
      </c>
      <c r="E30" s="335" t="n"/>
      <c r="F30" s="310" t="n"/>
      <c r="G30" s="310" t="n"/>
    </row>
    <row r="31" ht="24" customHeight="1">
      <c r="A31" s="450" t="n">
        <v>24</v>
      </c>
      <c r="B31" s="442" t="inlineStr">
        <is>
          <t>火</t>
        </is>
      </c>
      <c r="C31" s="331" t="inlineStr">
        <is>
          <t>火①②⑤⑥　PTA私費会計監査</t>
        </is>
      </c>
      <c r="D31" s="459" t="inlineStr">
        <is>
          <t>9:00～16:00</t>
        </is>
      </c>
      <c r="E31" s="331" t="n"/>
      <c r="F31" s="310" t="n"/>
      <c r="G31" s="310" t="n"/>
    </row>
    <row r="32" ht="24" customHeight="1">
      <c r="A32" s="450" t="n">
        <v>25</v>
      </c>
      <c r="B32" s="442" t="inlineStr">
        <is>
          <t>水</t>
        </is>
      </c>
      <c r="C32" s="331" t="inlineStr">
        <is>
          <t>40×4　13：30完全下校</t>
        </is>
      </c>
      <c r="D32" s="459" t="inlineStr">
        <is>
          <t>休み</t>
        </is>
      </c>
      <c r="E32" s="331" t="n"/>
      <c r="F32" s="310" t="n"/>
      <c r="G32" s="310" t="n"/>
    </row>
    <row r="33" ht="24" customHeight="1">
      <c r="A33" s="450" t="n">
        <v>26</v>
      </c>
      <c r="B33" s="442" t="inlineStr">
        <is>
          <t>木</t>
        </is>
      </c>
      <c r="C33" s="454" t="inlineStr">
        <is>
          <t>40×4　SC来校</t>
        </is>
      </c>
      <c r="D33" s="459" t="inlineStr">
        <is>
          <t>休み</t>
        </is>
      </c>
      <c r="E33" s="454" t="n"/>
      <c r="F33" s="310" t="n"/>
      <c r="G33" s="310" t="n"/>
    </row>
    <row r="34" ht="24" customHeight="1">
      <c r="A34" s="452" t="n">
        <v>27</v>
      </c>
      <c r="B34" s="442" t="inlineStr">
        <is>
          <t>金</t>
        </is>
      </c>
      <c r="C34" s="454" t="inlineStr">
        <is>
          <t>3年登校日　月①⑤⑥⑦</t>
        </is>
      </c>
      <c r="D34" s="459" t="inlineStr">
        <is>
          <t>休み</t>
        </is>
      </c>
      <c r="E34" s="454" t="n"/>
      <c r="F34" s="310" t="n"/>
      <c r="G34" s="310" t="n"/>
    </row>
    <row r="35" ht="24" customHeight="1">
      <c r="A35" s="455" t="n">
        <v>28</v>
      </c>
      <c r="B35" s="456" t="inlineStr">
        <is>
          <t>土</t>
        </is>
      </c>
      <c r="C35" s="457" t="n"/>
      <c r="D35" s="460" t="inlineStr">
        <is>
          <t>休み</t>
        </is>
      </c>
      <c r="E35" s="457" t="n"/>
      <c r="F35" s="310" t="n"/>
      <c r="G35" s="310" t="n"/>
    </row>
    <row r="36" ht="24" customHeight="1">
      <c r="A36" s="452" t="n"/>
      <c r="B36" s="451" t="n"/>
      <c r="C36" s="334" t="n"/>
      <c r="D36" s="334" t="n"/>
      <c r="E36" s="334" t="n"/>
      <c r="F36" s="310" t="n"/>
      <c r="G36" s="310" t="n"/>
    </row>
    <row r="37" ht="24" customHeight="1">
      <c r="A37" s="452" t="n"/>
      <c r="B37" s="451" t="n"/>
      <c r="C37" s="334" t="n"/>
      <c r="D37" s="334" t="n"/>
      <c r="E37" s="334" t="n"/>
      <c r="F37" s="310" t="n"/>
      <c r="G37" s="310" t="n"/>
    </row>
    <row r="38" ht="24" customHeight="1" thickBot="1">
      <c r="A38" s="447" t="n"/>
      <c r="B38" s="448" t="n"/>
      <c r="C38" s="338" t="n"/>
      <c r="D38" s="338" t="n"/>
      <c r="E38" s="338" t="n"/>
      <c r="F38" s="310" t="n"/>
      <c r="G38" s="310" t="n"/>
    </row>
    <row r="39" ht="126.75" customHeight="1" thickBot="1">
      <c r="A39" s="524" t="inlineStr">
        <is>
          <t xml:space="preserve">定期演奏会の曲
</t>
        </is>
      </c>
      <c r="B39" s="525" t="n"/>
      <c r="C39" s="525" t="n"/>
      <c r="D39" s="525" t="n"/>
      <c r="E39" s="526" t="n"/>
      <c r="F39" s="345" t="n"/>
      <c r="G39" s="345" t="n"/>
    </row>
  </sheetData>
  <mergeCells count="7">
    <mergeCell ref="A39:E39"/>
    <mergeCell ref="A4:C4"/>
    <mergeCell ref="A1:C1"/>
    <mergeCell ref="A5:C5"/>
    <mergeCell ref="A3:C3"/>
    <mergeCell ref="A6:E6"/>
    <mergeCell ref="A2:C2"/>
  </mergeCells>
  <conditionalFormatting sqref="B8:B38">
    <cfRule type="expression" priority="3" dxfId="0">
      <formula>$N7&gt;=1</formula>
    </cfRule>
    <cfRule type="expression" priority="4" dxfId="0">
      <formula>OR(WEEKDAY($E7,1)=1,WEEKDAY($E7,1)=7)</formula>
    </cfRule>
  </conditionalFormatting>
  <conditionalFormatting sqref="D8:D35">
    <cfRule type="expression" priority="1" dxfId="0">
      <formula>$N7&gt;=1</formula>
    </cfRule>
    <cfRule type="expression" priority="2" dxfId="0">
      <formula>OR(WEEKDAY($E7,1)=1,WEEKDAY($E7,1)=7)</formula>
    </cfRule>
  </conditionalFormatting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4" horizontalDpi="4294967294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R39"/>
  <sheetViews>
    <sheetView view="pageBreakPreview" topLeftCell="A2" zoomScale="85" zoomScaleNormal="100" zoomScaleSheetLayoutView="85" workbookViewId="0">
      <selection activeCell="K28" sqref="K28"/>
    </sheetView>
  </sheetViews>
  <sheetFormatPr baseColWidth="8" defaultColWidth="9" defaultRowHeight="13.2"/>
  <cols>
    <col width="5.5546875" bestFit="1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407" t="inlineStr">
        <is>
          <t>2025年度　令和8年　1月　吹奏楽部活動予定</t>
        </is>
      </c>
      <c r="B7" s="408" t="n"/>
      <c r="C7" s="408" t="n"/>
      <c r="D7" s="408" t="n"/>
      <c r="E7" s="409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447" t="n">
        <v>1</v>
      </c>
      <c r="B8" s="448" t="inlineStr">
        <is>
          <t>木</t>
        </is>
      </c>
      <c r="C8" s="335" t="inlineStr">
        <is>
          <t xml:space="preserve">元日　</t>
        </is>
      </c>
      <c r="D8" s="335" t="inlineStr">
        <is>
          <t>休み</t>
        </is>
      </c>
      <c r="E8" s="335" t="n"/>
      <c r="F8" s="310" t="inlineStr">
        <is>
          <t>１行  15.75</t>
        </is>
      </c>
      <c r="G8" s="310" t="n"/>
    </row>
    <row r="9" ht="24" customHeight="1">
      <c r="A9" s="447" t="n">
        <v>2</v>
      </c>
      <c r="B9" s="448" t="inlineStr">
        <is>
          <t>金</t>
        </is>
      </c>
      <c r="C9" s="335" t="n"/>
      <c r="D9" s="335" t="inlineStr">
        <is>
          <t>休み</t>
        </is>
      </c>
      <c r="E9" s="335" t="n"/>
      <c r="F9" s="310" t="inlineStr">
        <is>
          <t>MSPゴシック１２　日・曜日・行事</t>
        </is>
      </c>
      <c r="G9" s="310" t="n"/>
    </row>
    <row r="10" ht="24" customHeight="1">
      <c r="A10" s="449" t="n">
        <v>3</v>
      </c>
      <c r="B10" s="448" t="inlineStr">
        <is>
          <t>土</t>
        </is>
      </c>
      <c r="C10" s="335" t="n"/>
      <c r="D10" s="335" t="inlineStr">
        <is>
          <t>休み</t>
        </is>
      </c>
      <c r="E10" s="335" t="n"/>
      <c r="F10" s="310" t="n"/>
      <c r="G10" s="310" t="n"/>
    </row>
    <row r="11" ht="24" customHeight="1">
      <c r="A11" s="449" t="n">
        <v>4</v>
      </c>
      <c r="B11" s="448" t="inlineStr">
        <is>
          <t>日</t>
        </is>
      </c>
      <c r="C11" s="335" t="inlineStr">
        <is>
          <t>学校閉庁日</t>
        </is>
      </c>
      <c r="D11" s="335" t="inlineStr">
        <is>
          <t>休み</t>
        </is>
      </c>
      <c r="E11" s="335" t="n"/>
      <c r="F11" s="310" t="n"/>
      <c r="G11" s="310" t="n"/>
    </row>
    <row r="12" ht="24" customHeight="1">
      <c r="A12" s="450" t="n">
        <v>5</v>
      </c>
      <c r="B12" s="451" t="inlineStr">
        <is>
          <t>月</t>
        </is>
      </c>
      <c r="C12" s="331" t="inlineStr">
        <is>
          <t>3年担任・管理職調査書発行業務</t>
        </is>
      </c>
      <c r="D12" s="331" t="inlineStr">
        <is>
          <t>休み</t>
        </is>
      </c>
      <c r="E12" s="331" t="n"/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450" t="n">
        <v>6</v>
      </c>
      <c r="B13" s="451" t="inlineStr">
        <is>
          <t>火</t>
        </is>
      </c>
      <c r="C13" s="334" t="inlineStr">
        <is>
          <t>冬季休業終了</t>
        </is>
      </c>
      <c r="D13" s="334" t="inlineStr">
        <is>
          <t>9:00～15:00</t>
        </is>
      </c>
      <c r="E13" s="334" t="inlineStr">
        <is>
          <t>吹き初め・初詣</t>
        </is>
      </c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450" t="n">
        <v>7</v>
      </c>
      <c r="B14" s="451" t="inlineStr">
        <is>
          <t>水</t>
        </is>
      </c>
      <c r="C14" s="331" t="inlineStr">
        <is>
          <t>３学期始業式＋清掃 40×6</t>
        </is>
      </c>
      <c r="D14" s="334" t="inlineStr">
        <is>
          <t>～18:00</t>
        </is>
      </c>
      <c r="E14" s="331" t="n"/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452" t="n">
        <v>8</v>
      </c>
      <c r="B15" s="451" t="inlineStr">
        <is>
          <t>木</t>
        </is>
      </c>
      <c r="C15" s="334" t="inlineStr">
        <is>
          <t>調査書発行業務（3学年） SC来校</t>
        </is>
      </c>
      <c r="D15" s="334" t="inlineStr">
        <is>
          <t>～18:00</t>
        </is>
      </c>
      <c r="E15" s="334" t="n"/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452" t="n">
        <v>9</v>
      </c>
      <c r="B16" s="451" t="inlineStr">
        <is>
          <t>金</t>
        </is>
      </c>
      <c r="C16" s="331" t="n"/>
      <c r="D16" s="334" t="inlineStr">
        <is>
          <t>～18:00</t>
        </is>
      </c>
      <c r="E16" s="331" t="n"/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447" t="n">
        <v>10</v>
      </c>
      <c r="B17" s="448" t="inlineStr">
        <is>
          <t>土</t>
        </is>
      </c>
      <c r="C17" s="335" t="n"/>
      <c r="D17" s="335" t="inlineStr">
        <is>
          <t>9:00～12:00</t>
        </is>
      </c>
      <c r="E17" s="335" t="inlineStr">
        <is>
          <t>中田不在の可能性有り</t>
        </is>
      </c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447" t="n">
        <v>11</v>
      </c>
      <c r="B18" s="448" t="inlineStr">
        <is>
          <t>日</t>
        </is>
      </c>
      <c r="C18" s="335" t="n"/>
      <c r="D18" s="335" t="inlineStr">
        <is>
          <t>休み</t>
        </is>
      </c>
      <c r="E18" s="335" t="n"/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449" t="n">
        <v>12</v>
      </c>
      <c r="B19" s="448" t="inlineStr">
        <is>
          <t>月</t>
        </is>
      </c>
      <c r="C19" s="335" t="inlineStr">
        <is>
          <t>成人の日</t>
        </is>
      </c>
      <c r="D19" s="335" t="inlineStr">
        <is>
          <t>休み</t>
        </is>
      </c>
      <c r="E19" s="335" t="n"/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450" t="n">
        <v>13</v>
      </c>
      <c r="B20" s="451" t="inlineStr">
        <is>
          <t>火</t>
        </is>
      </c>
      <c r="C20" s="331" t="inlineStr">
        <is>
          <t>　</t>
        </is>
      </c>
      <c r="D20" s="334" t="inlineStr">
        <is>
          <t>～18:00</t>
        </is>
      </c>
      <c r="E20" s="331" t="n"/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450" t="n">
        <v>14</v>
      </c>
      <c r="B21" s="451" t="inlineStr">
        <is>
          <t>水</t>
        </is>
      </c>
      <c r="C21" s="334" t="n"/>
      <c r="D21" s="334" t="inlineStr">
        <is>
          <t>～18:00</t>
        </is>
      </c>
      <c r="E21" s="334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452" t="n">
        <v>15</v>
      </c>
      <c r="B22" s="451" t="inlineStr">
        <is>
          <t>木</t>
        </is>
      </c>
      <c r="C22" s="334" t="inlineStr">
        <is>
          <t>40×6 ④共通テスト説明会3年 職員会議（入選・定例）　SC来校</t>
        </is>
      </c>
      <c r="D22" s="334" t="inlineStr">
        <is>
          <t>～18:00</t>
        </is>
      </c>
      <c r="E22" s="334" t="n"/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452" t="n">
        <v>16</v>
      </c>
      <c r="B23" s="451" t="inlineStr">
        <is>
          <t>金</t>
        </is>
      </c>
      <c r="C23" s="334" t="inlineStr">
        <is>
          <t>年間行事予定調整会議　SSW来校</t>
        </is>
      </c>
      <c r="D23" s="334" t="inlineStr">
        <is>
          <t>～18:00</t>
        </is>
      </c>
      <c r="E23" s="334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447" t="n">
        <v>17</v>
      </c>
      <c r="B24" s="448" t="inlineStr">
        <is>
          <t>土</t>
        </is>
      </c>
      <c r="C24" s="335" t="inlineStr">
        <is>
          <t>共通テスト</t>
        </is>
      </c>
      <c r="D24" s="335" t="inlineStr">
        <is>
          <t>9:00～16:00</t>
        </is>
      </c>
      <c r="E24" s="335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447" t="n">
        <v>18</v>
      </c>
      <c r="B25" s="448" t="inlineStr">
        <is>
          <t>日</t>
        </is>
      </c>
      <c r="C25" s="335" t="inlineStr">
        <is>
          <t>共通テスト</t>
        </is>
      </c>
      <c r="D25" s="335" t="inlineStr">
        <is>
          <t>休み</t>
        </is>
      </c>
      <c r="E25" s="335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450" t="n">
        <v>19</v>
      </c>
      <c r="B26" s="451" t="inlineStr">
        <is>
          <t>月</t>
        </is>
      </c>
      <c r="C26" s="331" t="inlineStr">
        <is>
          <t>3年データリサーチ あいさつ運動</t>
        </is>
      </c>
      <c r="D26" s="334" t="inlineStr">
        <is>
          <t>休み</t>
        </is>
      </c>
      <c r="E26" s="331" t="n"/>
      <c r="F26" s="310" t="n"/>
      <c r="G26" s="310" t="n"/>
    </row>
    <row r="27" ht="24" customHeight="1">
      <c r="A27" s="450" t="n">
        <v>20</v>
      </c>
      <c r="B27" s="451" t="inlineStr">
        <is>
          <t>火</t>
        </is>
      </c>
      <c r="C27" s="334" t="inlineStr">
        <is>
          <t>1年・2年模試全日</t>
        </is>
      </c>
      <c r="D27" s="334" t="inlineStr">
        <is>
          <t>～18:00</t>
        </is>
      </c>
      <c r="E27" s="334" t="n"/>
      <c r="F27" s="310" t="n"/>
      <c r="G27" s="310" t="n"/>
    </row>
    <row r="28" ht="24" customHeight="1">
      <c r="A28" s="450" t="n">
        <v>21</v>
      </c>
      <c r="B28" s="451" t="inlineStr">
        <is>
          <t>水</t>
        </is>
      </c>
      <c r="C28" s="334" t="inlineStr">
        <is>
          <t>3年午前授業</t>
        </is>
      </c>
      <c r="D28" s="334" t="inlineStr">
        <is>
          <t>～18:00</t>
        </is>
      </c>
      <c r="E28" s="334" t="n"/>
      <c r="F28" s="310" t="n"/>
      <c r="G28" s="310" t="n"/>
    </row>
    <row r="29" ht="24" customHeight="1">
      <c r="A29" s="452" t="n">
        <v>22</v>
      </c>
      <c r="B29" s="451" t="inlineStr">
        <is>
          <t>木</t>
        </is>
      </c>
      <c r="C29" s="453" t="inlineStr">
        <is>
          <t>3年学年末テスト　衛生委員会　SC来校</t>
        </is>
      </c>
      <c r="D29" s="334" t="inlineStr">
        <is>
          <t>～18:00</t>
        </is>
      </c>
      <c r="E29" s="453" t="n"/>
      <c r="F29" s="310" t="n"/>
      <c r="G29" s="310" t="n"/>
    </row>
    <row r="30" ht="24" customHeight="1">
      <c r="A30" s="452" t="n">
        <v>23</v>
      </c>
      <c r="B30" s="451" t="inlineStr">
        <is>
          <t>金</t>
        </is>
      </c>
      <c r="C30" s="334" t="inlineStr">
        <is>
          <t>3年午前授業（～1/31） 短縮45×6　3年成績処理　SSW来校</t>
        </is>
      </c>
      <c r="D30" s="334" t="inlineStr">
        <is>
          <t>～18:00</t>
        </is>
      </c>
      <c r="E30" s="334" t="n"/>
      <c r="F30" s="310" t="n"/>
      <c r="G30" s="310" t="n"/>
    </row>
    <row r="31" ht="24" customHeight="1">
      <c r="A31" s="447" t="n">
        <v>24</v>
      </c>
      <c r="B31" s="448" t="inlineStr">
        <is>
          <t>土</t>
        </is>
      </c>
      <c r="C31" s="335" t="n"/>
      <c r="D31" s="335" t="inlineStr">
        <is>
          <t>9:00～16:00</t>
        </is>
      </c>
      <c r="E31" s="335" t="n"/>
      <c r="F31" s="310" t="n"/>
      <c r="G31" s="310" t="n"/>
    </row>
    <row r="32" ht="24" customHeight="1">
      <c r="A32" s="447" t="n">
        <v>25</v>
      </c>
      <c r="B32" s="448" t="inlineStr">
        <is>
          <t>日</t>
        </is>
      </c>
      <c r="C32" s="335" t="inlineStr">
        <is>
          <t>2年英語検定</t>
        </is>
      </c>
      <c r="D32" s="335" t="inlineStr">
        <is>
          <t>休み</t>
        </is>
      </c>
      <c r="E32" s="335" t="n"/>
      <c r="F32" s="310" t="n"/>
      <c r="G32" s="310" t="n"/>
    </row>
    <row r="33" ht="24" customHeight="1">
      <c r="A33" s="450" t="n">
        <v>26</v>
      </c>
      <c r="B33" s="451" t="inlineStr">
        <is>
          <t>月</t>
        </is>
      </c>
      <c r="C33" s="334" t="inlineStr">
        <is>
          <t>短縮45×6　3年成績処理</t>
        </is>
      </c>
      <c r="D33" s="334" t="inlineStr">
        <is>
          <t>休み</t>
        </is>
      </c>
      <c r="E33" s="334" t="n"/>
      <c r="F33" s="310" t="n"/>
      <c r="G33" s="310" t="n"/>
    </row>
    <row r="34" ht="24" customHeight="1">
      <c r="A34" s="450" t="n">
        <v>27</v>
      </c>
      <c r="B34" s="451" t="inlineStr">
        <is>
          <t>火</t>
        </is>
      </c>
      <c r="C34" s="334" t="inlineStr">
        <is>
          <t>短縮45×6　3年成績処理</t>
        </is>
      </c>
      <c r="D34" s="334" t="inlineStr">
        <is>
          <t>～18:00</t>
        </is>
      </c>
      <c r="E34" s="334" t="n"/>
      <c r="F34" s="310" t="n"/>
      <c r="G34" s="310" t="n"/>
    </row>
    <row r="35" ht="24" customHeight="1">
      <c r="A35" s="450" t="n">
        <v>28</v>
      </c>
      <c r="B35" s="451" t="inlineStr">
        <is>
          <t>水</t>
        </is>
      </c>
      <c r="C35" s="334" t="inlineStr">
        <is>
          <t>素点入力締切</t>
        </is>
      </c>
      <c r="D35" s="334" t="inlineStr">
        <is>
          <t>～18:00</t>
        </is>
      </c>
      <c r="E35" s="334" t="n"/>
      <c r="F35" s="310" t="n"/>
      <c r="G35" s="310" t="n"/>
    </row>
    <row r="36" ht="24" customHeight="1">
      <c r="A36" s="452" t="n">
        <v>29</v>
      </c>
      <c r="B36" s="451" t="inlineStr">
        <is>
          <t>木</t>
        </is>
      </c>
      <c r="C36" s="334" t="inlineStr">
        <is>
          <t>①～③３年LHR　④三送会 3年　素点・欠時票配付　SC来校</t>
        </is>
      </c>
      <c r="D36" s="334" t="inlineStr">
        <is>
          <t>～18:00</t>
        </is>
      </c>
      <c r="E36" s="334" t="n"/>
      <c r="F36" s="310" t="n"/>
      <c r="G36" s="310" t="n"/>
    </row>
    <row r="37" ht="24" customHeight="1">
      <c r="A37" s="452" t="n">
        <v>30</v>
      </c>
      <c r="B37" s="451" t="inlineStr">
        <is>
          <t>金</t>
        </is>
      </c>
      <c r="C37" s="334" t="inlineStr">
        <is>
          <t>45×6 ①②3年LHR 教科会　SSW来校</t>
        </is>
      </c>
      <c r="D37" s="334" t="inlineStr">
        <is>
          <t>～18:00</t>
        </is>
      </c>
      <c r="E37" s="334" t="n"/>
      <c r="F37" s="310" t="n"/>
      <c r="G37" s="310" t="n"/>
    </row>
    <row r="38" ht="24" customHeight="1" thickBot="1">
      <c r="A38" s="447" t="n">
        <v>31</v>
      </c>
      <c r="B38" s="448" t="inlineStr">
        <is>
          <t>土</t>
        </is>
      </c>
      <c r="C38" s="338" t="inlineStr">
        <is>
          <t>PTA役員会・運営委員会</t>
        </is>
      </c>
      <c r="D38" s="338" t="inlineStr">
        <is>
          <t>9:00～16:00</t>
        </is>
      </c>
      <c r="E38" s="338" t="n"/>
      <c r="F38" s="310" t="n"/>
      <c r="G38" s="310" t="n"/>
    </row>
    <row r="39" ht="126.75" customHeight="1" thickBot="1">
      <c r="A39" s="524" t="inlineStr">
        <is>
          <t xml:space="preserve">定期演奏会の曲
</t>
        </is>
      </c>
      <c r="B39" s="525" t="n"/>
      <c r="C39" s="525" t="n"/>
      <c r="D39" s="525" t="n"/>
      <c r="E39" s="526" t="n"/>
      <c r="F39" s="345" t="n"/>
      <c r="G39" s="345" t="n"/>
    </row>
  </sheetData>
  <mergeCells count="7">
    <mergeCell ref="A39:E39"/>
    <mergeCell ref="A4:C4"/>
    <mergeCell ref="A1:C1"/>
    <mergeCell ref="A5:C5"/>
    <mergeCell ref="A3:C3"/>
    <mergeCell ref="A6:E6"/>
    <mergeCell ref="A2:C2"/>
  </mergeCells>
  <conditionalFormatting sqref="B8:B38">
    <cfRule type="expression" priority="1" dxfId="0">
      <formula>$N7&gt;=1</formula>
    </cfRule>
    <cfRule type="expression" priority="2" dxfId="0">
      <formula>OR(WEEKDAY($E7,1)=1,WEEKDAY($E7,1)=7)</formula>
    </cfRule>
  </conditionalFormatting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4" horizontalDpi="4294967294"/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R39"/>
  <sheetViews>
    <sheetView view="pageBreakPreview" zoomScale="85" zoomScaleNormal="100" zoomScaleSheetLayoutView="85" workbookViewId="0">
      <selection activeCell="L17" sqref="L17"/>
    </sheetView>
  </sheetViews>
  <sheetFormatPr baseColWidth="8" defaultColWidth="9" defaultRowHeight="13.2"/>
  <cols>
    <col width="5.5546875" bestFit="1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407" t="inlineStr">
        <is>
          <t>2025年度　12月　吹奏楽部活動予定</t>
        </is>
      </c>
      <c r="B7" s="408" t="n"/>
      <c r="C7" s="408" t="n"/>
      <c r="D7" s="408" t="n"/>
      <c r="E7" s="409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527">
        <f>E3</f>
        <v/>
      </c>
      <c r="B8" s="442" t="inlineStr">
        <is>
          <t>月</t>
        </is>
      </c>
      <c r="C8" s="331" t="n"/>
      <c r="D8" s="331" t="inlineStr">
        <is>
          <t>休み</t>
        </is>
      </c>
      <c r="E8" s="396" t="n"/>
      <c r="F8" s="310" t="inlineStr">
        <is>
          <t>１行  15.75</t>
        </is>
      </c>
      <c r="G8" s="310" t="n"/>
    </row>
    <row r="9" ht="24" customHeight="1">
      <c r="A9" s="528">
        <f>A8+1</f>
        <v/>
      </c>
      <c r="B9" s="442" t="inlineStr">
        <is>
          <t>火</t>
        </is>
      </c>
      <c r="C9" s="331" t="inlineStr">
        <is>
          <t>40×5</t>
        </is>
      </c>
      <c r="D9" s="331" t="inlineStr">
        <is>
          <t>休み</t>
        </is>
      </c>
      <c r="E9" s="396" t="n"/>
      <c r="F9" s="310" t="inlineStr">
        <is>
          <t>MSPゴシック１２　日・曜日・行事</t>
        </is>
      </c>
      <c r="G9" s="310" t="n"/>
    </row>
    <row r="10" ht="24" customHeight="1">
      <c r="A10" s="528">
        <f>A9+1</f>
        <v/>
      </c>
      <c r="B10" s="442" t="inlineStr">
        <is>
          <t>水</t>
        </is>
      </c>
      <c r="C10" s="331" t="inlineStr">
        <is>
          <t xml:space="preserve">期末テスト　　　　　　　　　</t>
        </is>
      </c>
      <c r="D10" s="331" t="inlineStr">
        <is>
          <t>休み</t>
        </is>
      </c>
      <c r="E10" s="396" t="n"/>
      <c r="F10" s="310" t="n"/>
      <c r="G10" s="310" t="n"/>
    </row>
    <row r="11" ht="24" customHeight="1">
      <c r="A11" s="528">
        <f>A10+1</f>
        <v/>
      </c>
      <c r="B11" s="442" t="inlineStr">
        <is>
          <t>木</t>
        </is>
      </c>
      <c r="C11" s="331" t="inlineStr">
        <is>
          <t xml:space="preserve">期末テスト　　　　　　　　　</t>
        </is>
      </c>
      <c r="D11" s="331" t="inlineStr">
        <is>
          <t>休み</t>
        </is>
      </c>
      <c r="E11" s="396" t="n"/>
      <c r="F11" s="310" t="n"/>
      <c r="G11" s="310" t="n"/>
    </row>
    <row r="12" ht="24" customHeight="1">
      <c r="A12" s="528">
        <f>A11+1</f>
        <v/>
      </c>
      <c r="B12" s="442" t="inlineStr">
        <is>
          <t>金</t>
        </is>
      </c>
      <c r="C12" s="331" t="inlineStr">
        <is>
          <t xml:space="preserve">期末テスト　　　　　　　　　</t>
        </is>
      </c>
      <c r="D12" s="331" t="inlineStr">
        <is>
          <t>休み</t>
        </is>
      </c>
      <c r="E12" s="396" t="n"/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529">
        <f>A12+1</f>
        <v/>
      </c>
      <c r="B13" s="443" t="inlineStr">
        <is>
          <t>土</t>
        </is>
      </c>
      <c r="C13" s="335" t="n"/>
      <c r="D13" s="335" t="inlineStr">
        <is>
          <t>休み</t>
        </is>
      </c>
      <c r="E13" s="395" t="n"/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529">
        <f>A13+1</f>
        <v/>
      </c>
      <c r="B14" s="443" t="inlineStr">
        <is>
          <t>日</t>
        </is>
      </c>
      <c r="C14" s="335" t="n"/>
      <c r="D14" s="335" t="inlineStr">
        <is>
          <t>休み</t>
        </is>
      </c>
      <c r="E14" s="395" t="n"/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528">
        <f>A14+1</f>
        <v/>
      </c>
      <c r="B15" s="442" t="inlineStr">
        <is>
          <t>月</t>
        </is>
      </c>
      <c r="C15" s="331" t="inlineStr">
        <is>
          <t xml:space="preserve">期末テスト　　　　　　　　　</t>
        </is>
      </c>
      <c r="D15" s="331" t="inlineStr">
        <is>
          <t>休み</t>
        </is>
      </c>
      <c r="E15" s="396" t="n"/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528">
        <f>A15+1</f>
        <v/>
      </c>
      <c r="B16" s="442" t="inlineStr">
        <is>
          <t>火</t>
        </is>
      </c>
      <c r="C16" s="331" t="inlineStr">
        <is>
          <t xml:space="preserve">特別時間割①～⑥　</t>
        </is>
      </c>
      <c r="D16" s="331" t="inlineStr">
        <is>
          <t>～17:00</t>
        </is>
      </c>
      <c r="E16" s="396" t="n"/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528">
        <f>A16+1</f>
        <v/>
      </c>
      <c r="B17" s="442" t="inlineStr">
        <is>
          <t>水</t>
        </is>
      </c>
      <c r="C17" s="331" t="inlineStr">
        <is>
          <t>特別時間割①～⑥　性感染症予防講演会②③（1年）</t>
        </is>
      </c>
      <c r="D17" s="331" t="inlineStr">
        <is>
          <t>～17:00</t>
        </is>
      </c>
      <c r="E17" s="396" t="inlineStr">
        <is>
          <t>中田不在</t>
        </is>
      </c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528">
        <f>A17+1</f>
        <v/>
      </c>
      <c r="B18" s="442" t="inlineStr">
        <is>
          <t>木</t>
        </is>
      </c>
      <c r="C18" s="331" t="inlineStr">
        <is>
          <t>特別時間割①～⑥　素点・欠時入力締切　薬物乱用防止講演会⑤⑥（2年） SC来校</t>
        </is>
      </c>
      <c r="D18" s="331" t="inlineStr">
        <is>
          <t>～17:00</t>
        </is>
      </c>
      <c r="E18" s="396" t="n"/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528">
        <f>A18+1</f>
        <v/>
      </c>
      <c r="B19" s="442" t="inlineStr">
        <is>
          <t>金</t>
        </is>
      </c>
      <c r="C19" s="334" t="inlineStr">
        <is>
          <t>40×5　①素点・欠時表配付 国際理解教育　SSW来校</t>
        </is>
      </c>
      <c r="D19" s="334" t="inlineStr">
        <is>
          <t>～17:00</t>
        </is>
      </c>
      <c r="E19" s="394" t="inlineStr">
        <is>
          <t>中田不在</t>
        </is>
      </c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529">
        <f>A19+1</f>
        <v/>
      </c>
      <c r="B20" s="443" t="inlineStr">
        <is>
          <t>土</t>
        </is>
      </c>
      <c r="C20" s="338" t="inlineStr">
        <is>
          <t>第３回学校説明会 PTA役員会・運営委員会（PM） 部活動体験会</t>
        </is>
      </c>
      <c r="D20" s="338" t="inlineStr">
        <is>
          <t>9:00～16:00</t>
        </is>
      </c>
      <c r="E20" s="402" t="inlineStr">
        <is>
          <t>10:00～学校説明会　13:00～部活動体験</t>
        </is>
      </c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529">
        <f>A20+1</f>
        <v/>
      </c>
      <c r="B21" s="443" t="inlineStr">
        <is>
          <t>日</t>
        </is>
      </c>
      <c r="C21" s="338" t="n"/>
      <c r="D21" s="338" t="inlineStr">
        <is>
          <t>休み</t>
        </is>
      </c>
      <c r="E21" s="402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528">
        <f>A21+1</f>
        <v/>
      </c>
      <c r="B22" s="442" t="inlineStr">
        <is>
          <t>月</t>
        </is>
      </c>
      <c r="C22" s="331" t="inlineStr">
        <is>
          <t xml:space="preserve">40×5　教科会　</t>
        </is>
      </c>
      <c r="D22" s="331" t="inlineStr">
        <is>
          <t>休み</t>
        </is>
      </c>
      <c r="E22" s="396" t="n"/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528">
        <f>A22+1</f>
        <v/>
      </c>
      <c r="B23" s="442" t="inlineStr">
        <is>
          <t>火</t>
        </is>
      </c>
      <c r="C23" s="331" t="inlineStr">
        <is>
          <t>40×5　データ点検（1.2年）</t>
        </is>
      </c>
      <c r="D23" s="331" t="inlineStr">
        <is>
          <t>～17:00</t>
        </is>
      </c>
      <c r="E23" s="396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528">
        <f>A23+1</f>
        <v/>
      </c>
      <c r="B24" s="442" t="inlineStr">
        <is>
          <t>水</t>
        </is>
      </c>
      <c r="C24" s="334" t="inlineStr">
        <is>
          <t>40×5　データ点検（3年）・成績入力締切</t>
        </is>
      </c>
      <c r="D24" s="331" t="inlineStr">
        <is>
          <t>～17:00</t>
        </is>
      </c>
      <c r="E24" s="394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528">
        <f>A24+1</f>
        <v/>
      </c>
      <c r="B25" s="442" t="inlineStr">
        <is>
          <t>木</t>
        </is>
      </c>
      <c r="C25" s="334" t="inlineStr">
        <is>
          <t>40×5　成績一斉点検　小論文模試２年　共通テスト説明会3年　SC来校</t>
        </is>
      </c>
      <c r="D25" s="334" t="inlineStr">
        <is>
          <t>～17:00</t>
        </is>
      </c>
      <c r="E25" s="394" t="inlineStr">
        <is>
          <t>中田不在</t>
        </is>
      </c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528">
        <f>A25+1</f>
        <v/>
      </c>
      <c r="B26" s="442" t="inlineStr">
        <is>
          <t>金</t>
        </is>
      </c>
      <c r="C26" s="334" t="inlineStr">
        <is>
          <t>40×5　学年会・一覧表点検・提出　SSW来校</t>
        </is>
      </c>
      <c r="D26" s="334" t="inlineStr">
        <is>
          <t>～17:00</t>
        </is>
      </c>
      <c r="E26" s="394" t="n"/>
      <c r="F26" s="310" t="n"/>
      <c r="G26" s="310" t="n"/>
    </row>
    <row r="27" ht="24" customHeight="1">
      <c r="A27" s="529">
        <f>A26+1</f>
        <v/>
      </c>
      <c r="B27" s="443" t="inlineStr">
        <is>
          <t>土</t>
        </is>
      </c>
      <c r="C27" s="338" t="n"/>
      <c r="D27" s="338" t="inlineStr">
        <is>
          <t>9:00～16:00</t>
        </is>
      </c>
      <c r="E27" s="402" t="n"/>
      <c r="F27" s="310" t="n"/>
      <c r="G27" s="310" t="n"/>
    </row>
    <row r="28" ht="24" customHeight="1">
      <c r="A28" s="529">
        <f>A27+1</f>
        <v/>
      </c>
      <c r="B28" s="443" t="inlineStr">
        <is>
          <t>日</t>
        </is>
      </c>
      <c r="C28" s="335" t="n"/>
      <c r="D28" s="335" t="inlineStr">
        <is>
          <t>休み</t>
        </is>
      </c>
      <c r="E28" s="395" t="n"/>
      <c r="F28" s="310" t="n"/>
      <c r="G28" s="310" t="n"/>
    </row>
    <row r="29" ht="24" customHeight="1">
      <c r="A29" s="528">
        <f>A28+1</f>
        <v/>
      </c>
      <c r="B29" s="442" t="inlineStr">
        <is>
          <t>月</t>
        </is>
      </c>
      <c r="C29" s="331" t="inlineStr">
        <is>
          <t xml:space="preserve">40×5　成績会議・職員会議 </t>
        </is>
      </c>
      <c r="D29" s="331" t="inlineStr">
        <is>
          <t>休み</t>
        </is>
      </c>
      <c r="E29" s="396" t="n"/>
      <c r="F29" s="310" t="n"/>
      <c r="G29" s="310" t="n"/>
    </row>
    <row r="30" ht="24" customHeight="1">
      <c r="A30" s="528">
        <f>A29+1</f>
        <v/>
      </c>
      <c r="B30" s="442" t="inlineStr">
        <is>
          <t>火</t>
        </is>
      </c>
      <c r="C30" s="334" t="inlineStr">
        <is>
          <t>40×5　⑤通知表データ確認 調査書準備 第2回いじめ防止推進会議</t>
        </is>
      </c>
      <c r="D30" s="331" t="inlineStr">
        <is>
          <t>～17:00</t>
        </is>
      </c>
      <c r="E30" s="394" t="n"/>
      <c r="F30" s="310" t="n"/>
      <c r="G30" s="310" t="n"/>
    </row>
    <row r="31" ht="24" customHeight="1">
      <c r="A31" s="528">
        <f>A30+1</f>
        <v/>
      </c>
      <c r="B31" s="442" t="inlineStr">
        <is>
          <t>水</t>
        </is>
      </c>
      <c r="C31" s="331" t="inlineStr">
        <is>
          <t>大掃除・終業式・LHR 調査書点検</t>
        </is>
      </c>
      <c r="D31" s="331" t="inlineStr">
        <is>
          <t>～16:00</t>
        </is>
      </c>
      <c r="E31" s="396" t="n"/>
      <c r="F31" s="310" t="n"/>
      <c r="G31" s="310" t="n"/>
    </row>
    <row r="32" ht="24" customHeight="1">
      <c r="A32" s="528">
        <f>A31+1</f>
        <v/>
      </c>
      <c r="B32" s="442" t="inlineStr">
        <is>
          <t>木</t>
        </is>
      </c>
      <c r="C32" s="334" t="inlineStr">
        <is>
          <t>調査書管理職点検①</t>
        </is>
      </c>
      <c r="D32" s="331" t="inlineStr">
        <is>
          <t>9:00～16:00</t>
        </is>
      </c>
      <c r="E32" s="394" t="inlineStr">
        <is>
          <t>レクリエーション？</t>
        </is>
      </c>
      <c r="F32" s="310" t="n"/>
      <c r="G32" s="310" t="n"/>
    </row>
    <row r="33" ht="24" customHeight="1">
      <c r="A33" s="528">
        <f>A32+1</f>
        <v/>
      </c>
      <c r="B33" s="442" t="inlineStr">
        <is>
          <t>金</t>
        </is>
      </c>
      <c r="C33" s="331" t="inlineStr">
        <is>
          <t>調査書管理職点検②</t>
        </is>
      </c>
      <c r="D33" s="331" t="inlineStr">
        <is>
          <t>本番 9:00～</t>
        </is>
      </c>
      <c r="E33" s="396" t="inlineStr">
        <is>
          <t>高文連吹奏楽祭 相模女子大グリーンホール15:19～演奏予定</t>
        </is>
      </c>
      <c r="F33" s="310" t="n"/>
      <c r="G33" s="310" t="n"/>
    </row>
    <row r="34" ht="24" customHeight="1">
      <c r="A34" s="529">
        <f>A33+1</f>
        <v/>
      </c>
      <c r="B34" s="443" t="inlineStr">
        <is>
          <t>土</t>
        </is>
      </c>
      <c r="C34" s="335" t="n"/>
      <c r="D34" s="335" t="inlineStr">
        <is>
          <t>9:00～16:00</t>
        </is>
      </c>
      <c r="E34" s="395" t="inlineStr">
        <is>
          <t>大掃除＋吹き納め会</t>
        </is>
      </c>
      <c r="F34" s="310" t="n"/>
      <c r="G34" s="310" t="n"/>
    </row>
    <row r="35" ht="24" customHeight="1">
      <c r="A35" s="529">
        <f>A34+1</f>
        <v/>
      </c>
      <c r="B35" s="443" t="inlineStr">
        <is>
          <t>日</t>
        </is>
      </c>
      <c r="C35" s="335" t="inlineStr">
        <is>
          <t>学校閉庁日</t>
        </is>
      </c>
      <c r="D35" s="335" t="inlineStr">
        <is>
          <t>休み</t>
        </is>
      </c>
      <c r="E35" s="395" t="n"/>
      <c r="F35" s="310" t="n"/>
      <c r="G35" s="310" t="n"/>
    </row>
    <row r="36" ht="24" customHeight="1">
      <c r="A36" s="529">
        <f>A35+1</f>
        <v/>
      </c>
      <c r="B36" s="443" t="inlineStr">
        <is>
          <t>月</t>
        </is>
      </c>
      <c r="C36" s="335" t="n"/>
      <c r="D36" s="335" t="inlineStr">
        <is>
          <t>休み</t>
        </is>
      </c>
      <c r="E36" s="395" t="n"/>
      <c r="F36" s="310" t="n"/>
      <c r="G36" s="310" t="n"/>
    </row>
    <row r="37" ht="24" customHeight="1">
      <c r="A37" s="529">
        <f>A36+1</f>
        <v/>
      </c>
      <c r="B37" s="443" t="inlineStr">
        <is>
          <t>火</t>
        </is>
      </c>
      <c r="C37" s="335" t="n"/>
      <c r="D37" s="335" t="inlineStr">
        <is>
          <t>休み</t>
        </is>
      </c>
      <c r="E37" s="395" t="n"/>
      <c r="F37" s="310" t="n"/>
      <c r="G37" s="310" t="n"/>
    </row>
    <row r="38" ht="24" customHeight="1" thickBot="1">
      <c r="A38" s="529" t="n">
        <v>44560</v>
      </c>
      <c r="B38" s="443" t="inlineStr">
        <is>
          <t>水</t>
        </is>
      </c>
      <c r="C38" s="335" t="n"/>
      <c r="D38" s="335" t="inlineStr">
        <is>
          <t>休み</t>
        </is>
      </c>
      <c r="E38" s="395" t="n"/>
      <c r="F38" s="310" t="n"/>
      <c r="G38" s="310" t="n"/>
    </row>
    <row r="39" ht="126.75" customHeight="1" thickBot="1">
      <c r="A39" s="524" t="inlineStr">
        <is>
          <t>12/13学校説明会で演奏（チア部と合同も）
12/26高文連
そろそろ定期演奏会の曲やっていきましょう</t>
        </is>
      </c>
      <c r="B39" s="525" t="n"/>
      <c r="C39" s="525" t="n"/>
      <c r="D39" s="525" t="n"/>
      <c r="E39" s="526" t="n"/>
      <c r="F39" s="345" t="n"/>
      <c r="G39" s="345" t="n"/>
    </row>
  </sheetData>
  <mergeCells count="7">
    <mergeCell ref="A39:E39"/>
    <mergeCell ref="A4:C4"/>
    <mergeCell ref="A1:C1"/>
    <mergeCell ref="A5:C5"/>
    <mergeCell ref="A3:C3"/>
    <mergeCell ref="A6:E6"/>
    <mergeCell ref="A2:C2"/>
  </mergeCells>
  <conditionalFormatting sqref="B8:B38">
    <cfRule type="expression" priority="1" dxfId="0">
      <formula>$N7&gt;=1</formula>
    </cfRule>
    <cfRule type="expression" priority="2" dxfId="0">
      <formula>OR(WEEKDAY($E7,1)=1,WEEKDAY($E7,1)=7)</formula>
    </cfRule>
  </conditionalFormatting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4" horizontalDpi="4294967294"/>
</worksheet>
</file>

<file path=xl/worksheets/sheet6.xml><?xml version="1.0" encoding="utf-8"?>
<worksheet xmlns="http://schemas.openxmlformats.org/spreadsheetml/2006/main">
  <sheetPr codeName="Sheet5">
    <outlinePr summaryBelow="1" summaryRight="1"/>
    <pageSetUpPr fitToPage="1"/>
  </sheetPr>
  <dimension ref="A1:R39"/>
  <sheetViews>
    <sheetView view="pageBreakPreview" topLeftCell="A13" zoomScale="85" zoomScaleNormal="100" zoomScaleSheetLayoutView="85" workbookViewId="0">
      <selection activeCell="J16" sqref="J16"/>
    </sheetView>
  </sheetViews>
  <sheetFormatPr baseColWidth="8" defaultColWidth="9" defaultRowHeight="13.2"/>
  <cols>
    <col width="5.5546875" bestFit="1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407" t="inlineStr">
        <is>
          <t>2025年度　11月　吹奏楽部活動予定</t>
        </is>
      </c>
      <c r="B7" s="408" t="n"/>
      <c r="C7" s="408" t="n"/>
      <c r="D7" s="408" t="n"/>
      <c r="E7" s="409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436" t="n">
        <v>1</v>
      </c>
      <c r="B8" s="436" t="inlineStr">
        <is>
          <t>土</t>
        </is>
      </c>
      <c r="C8" s="422" t="n"/>
      <c r="D8" s="438" t="inlineStr">
        <is>
          <t>9:00～12:00</t>
        </is>
      </c>
      <c r="E8" s="422" t="n"/>
      <c r="F8" s="310" t="inlineStr">
        <is>
          <t>１行  15.75</t>
        </is>
      </c>
      <c r="G8" s="310" t="n"/>
    </row>
    <row r="9" ht="24" customHeight="1">
      <c r="A9" s="426" t="n">
        <v>2</v>
      </c>
      <c r="B9" s="426" t="inlineStr">
        <is>
          <t>日</t>
        </is>
      </c>
      <c r="C9" s="422" t="n"/>
      <c r="D9" s="438" t="inlineStr">
        <is>
          <t>休み</t>
        </is>
      </c>
      <c r="E9" s="422" t="n"/>
      <c r="F9" s="310" t="inlineStr">
        <is>
          <t>MSPゴシック１２　日・曜日・行事</t>
        </is>
      </c>
      <c r="G9" s="310" t="n"/>
    </row>
    <row r="10" ht="24" customHeight="1">
      <c r="A10" s="426" t="n">
        <v>3</v>
      </c>
      <c r="B10" s="426" t="inlineStr">
        <is>
          <t>月</t>
        </is>
      </c>
      <c r="C10" s="422" t="inlineStr">
        <is>
          <t>文化の日</t>
        </is>
      </c>
      <c r="D10" s="438" t="inlineStr">
        <is>
          <t>休み</t>
        </is>
      </c>
      <c r="E10" s="422" t="n"/>
      <c r="F10" s="310" t="n"/>
      <c r="G10" s="310" t="n"/>
    </row>
    <row r="11" ht="24" customHeight="1">
      <c r="A11" s="424" t="n">
        <v>4</v>
      </c>
      <c r="B11" s="424" t="inlineStr">
        <is>
          <t>火</t>
        </is>
      </c>
      <c r="C11" s="421" t="n"/>
      <c r="D11" s="439" t="inlineStr">
        <is>
          <t>～18:00</t>
        </is>
      </c>
      <c r="E11" s="421" t="n"/>
      <c r="F11" s="310" t="n"/>
      <c r="G11" s="310" t="n"/>
    </row>
    <row r="12" ht="24" customHeight="1">
      <c r="A12" s="424" t="n">
        <v>5</v>
      </c>
      <c r="B12" s="424" t="inlineStr">
        <is>
          <t>水</t>
        </is>
      </c>
      <c r="C12" s="421" t="n"/>
      <c r="D12" s="439" t="inlineStr">
        <is>
          <t>～18:00</t>
        </is>
      </c>
      <c r="E12" s="421" t="n"/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424" t="n">
        <v>6</v>
      </c>
      <c r="B13" s="424" t="inlineStr">
        <is>
          <t>木</t>
        </is>
      </c>
      <c r="C13" s="421" t="inlineStr">
        <is>
          <t>④シェイクアウト訓練・防災避難訓練　SSW来校</t>
        </is>
      </c>
      <c r="D13" s="439" t="inlineStr">
        <is>
          <t>～18:00</t>
        </is>
      </c>
      <c r="E13" s="421" t="n"/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424" t="n">
        <v>7</v>
      </c>
      <c r="B14" s="424" t="inlineStr">
        <is>
          <t>金</t>
        </is>
      </c>
      <c r="C14" s="421" t="inlineStr">
        <is>
          <t>SC来校</t>
        </is>
      </c>
      <c r="D14" s="439" t="inlineStr">
        <is>
          <t>～18:00</t>
        </is>
      </c>
      <c r="E14" s="421" t="n"/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437" t="n">
        <v>8</v>
      </c>
      <c r="B15" s="437" t="inlineStr">
        <is>
          <t>土</t>
        </is>
      </c>
      <c r="C15" s="423" t="inlineStr">
        <is>
          <t>第２回学校説明会　PTA役員会（PM）</t>
        </is>
      </c>
      <c r="D15" s="440" t="inlineStr">
        <is>
          <t>本番</t>
        </is>
      </c>
      <c r="E15" s="423" t="inlineStr">
        <is>
          <t>アンサンブルコンテストのみ</t>
        </is>
      </c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426" t="n">
        <v>9</v>
      </c>
      <c r="B16" s="426" t="inlineStr">
        <is>
          <t>日</t>
        </is>
      </c>
      <c r="C16" s="435" t="n"/>
      <c r="D16" s="438" t="inlineStr">
        <is>
          <t>休み</t>
        </is>
      </c>
      <c r="E16" s="435" t="n"/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424" t="n">
        <v>10</v>
      </c>
      <c r="B17" s="424" t="inlineStr">
        <is>
          <t>月</t>
        </is>
      </c>
      <c r="C17" s="421" t="inlineStr">
        <is>
          <t>④職業ガイダンス（１年）</t>
        </is>
      </c>
      <c r="D17" s="439" t="inlineStr">
        <is>
          <t>休み</t>
        </is>
      </c>
      <c r="E17" s="421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424" t="n">
        <v>11</v>
      </c>
      <c r="B18" s="424" t="inlineStr">
        <is>
          <t>火</t>
        </is>
      </c>
      <c r="C18" s="421" t="n"/>
      <c r="D18" s="441" t="inlineStr">
        <is>
          <t>～18:00</t>
        </is>
      </c>
      <c r="E18" s="421" t="n"/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424" t="n">
        <v>12</v>
      </c>
      <c r="B19" s="424" t="inlineStr">
        <is>
          <t>水</t>
        </is>
      </c>
      <c r="C19" s="421" t="n"/>
      <c r="D19" s="441" t="inlineStr">
        <is>
          <t>～18:00</t>
        </is>
      </c>
      <c r="E19" s="421" t="n"/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424" t="n">
        <v>13</v>
      </c>
      <c r="B20" s="424" t="inlineStr">
        <is>
          <t>木</t>
        </is>
      </c>
      <c r="C20" s="421" t="inlineStr">
        <is>
          <t>芸術鑑賞会（麻生市民館）</t>
        </is>
      </c>
      <c r="D20" s="441" t="inlineStr">
        <is>
          <t>～18:00</t>
        </is>
      </c>
      <c r="E20" s="421" t="n"/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424" t="n">
        <v>14</v>
      </c>
      <c r="B21" s="424" t="inlineStr">
        <is>
          <t>金</t>
        </is>
      </c>
      <c r="C21" s="420" t="n"/>
      <c r="D21" s="441" t="inlineStr">
        <is>
          <t>～18:00</t>
        </is>
      </c>
      <c r="E21" s="420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426" t="n">
        <v>15</v>
      </c>
      <c r="B22" s="426" t="inlineStr">
        <is>
          <t>土</t>
        </is>
      </c>
      <c r="C22" s="422" t="n"/>
      <c r="D22" s="440" t="inlineStr">
        <is>
          <t>9:00～16:00</t>
        </is>
      </c>
      <c r="E22" s="422" t="n"/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426" t="n">
        <v>16</v>
      </c>
      <c r="B23" s="426" t="inlineStr">
        <is>
          <t>日</t>
        </is>
      </c>
      <c r="C23" s="422" t="n"/>
      <c r="D23" s="438" t="inlineStr">
        <is>
          <t>休み</t>
        </is>
      </c>
      <c r="E23" s="422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424" t="n">
        <v>17</v>
      </c>
      <c r="B24" s="424" t="inlineStr">
        <is>
          <t>月</t>
        </is>
      </c>
      <c r="C24" s="420" t="inlineStr">
        <is>
          <t>④分野別説明会（２年)</t>
        </is>
      </c>
      <c r="D24" s="439" t="inlineStr">
        <is>
          <t>休み</t>
        </is>
      </c>
      <c r="E24" s="420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424" t="n">
        <v>18</v>
      </c>
      <c r="B25" s="424" t="inlineStr">
        <is>
          <t>火</t>
        </is>
      </c>
      <c r="C25" s="421" t="n"/>
      <c r="D25" s="441" t="inlineStr">
        <is>
          <t>～18:00</t>
        </is>
      </c>
      <c r="E25" s="421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424" t="n">
        <v>19</v>
      </c>
      <c r="B26" s="424" t="inlineStr">
        <is>
          <t>水</t>
        </is>
      </c>
      <c r="C26" s="421" t="n"/>
      <c r="D26" s="441" t="inlineStr">
        <is>
          <t>～18:00</t>
        </is>
      </c>
      <c r="E26" s="421" t="n"/>
      <c r="F26" s="310" t="n"/>
      <c r="G26" s="310" t="n"/>
    </row>
    <row r="27" ht="24" customHeight="1">
      <c r="A27" s="424" t="n">
        <v>20</v>
      </c>
      <c r="B27" s="424" t="inlineStr">
        <is>
          <t>木</t>
        </is>
      </c>
      <c r="C27" s="420" t="inlineStr">
        <is>
          <t>④地域清掃２年　④一般入試説明会３年　職員会議　SSW来校</t>
        </is>
      </c>
      <c r="D27" s="441" t="inlineStr">
        <is>
          <t>～18:00</t>
        </is>
      </c>
      <c r="E27" s="420" t="n"/>
      <c r="F27" s="310" t="n"/>
      <c r="G27" s="310" t="n"/>
    </row>
    <row r="28" ht="24" customHeight="1">
      <c r="A28" s="424" t="n">
        <v>21</v>
      </c>
      <c r="B28" s="424" t="inlineStr">
        <is>
          <t>金</t>
        </is>
      </c>
      <c r="C28" s="421" t="inlineStr">
        <is>
          <t>公開授業・授業改善研修 SC来校</t>
        </is>
      </c>
      <c r="D28" s="441" t="inlineStr">
        <is>
          <t>～18:00</t>
        </is>
      </c>
      <c r="E28" s="421" t="n"/>
      <c r="F28" s="310" t="n"/>
      <c r="G28" s="310" t="n"/>
    </row>
    <row r="29" ht="24" customHeight="1">
      <c r="A29" s="426" t="n">
        <v>22</v>
      </c>
      <c r="B29" s="426" t="inlineStr">
        <is>
          <t>土</t>
        </is>
      </c>
      <c r="C29" s="422" t="n"/>
      <c r="D29" s="440" t="inlineStr">
        <is>
          <t>9:00～16:00</t>
        </is>
      </c>
      <c r="E29" s="422" t="n"/>
      <c r="F29" s="310" t="n"/>
      <c r="G29" s="310" t="n"/>
    </row>
    <row r="30" ht="24" customHeight="1">
      <c r="A30" s="426" t="n">
        <v>23</v>
      </c>
      <c r="B30" s="426" t="inlineStr">
        <is>
          <t>日</t>
        </is>
      </c>
      <c r="C30" s="422" t="inlineStr">
        <is>
          <t>勤労感謝の日</t>
        </is>
      </c>
      <c r="D30" s="438" t="inlineStr">
        <is>
          <t>休み</t>
        </is>
      </c>
      <c r="E30" s="422" t="n"/>
      <c r="F30" s="310" t="n"/>
      <c r="G30" s="310" t="n"/>
    </row>
    <row r="31" ht="24" customHeight="1">
      <c r="A31" s="426" t="n">
        <v>24</v>
      </c>
      <c r="B31" s="426" t="inlineStr">
        <is>
          <t>月</t>
        </is>
      </c>
      <c r="C31" s="422" t="inlineStr">
        <is>
          <t>振替休日</t>
        </is>
      </c>
      <c r="D31" s="438" t="inlineStr">
        <is>
          <t>休み</t>
        </is>
      </c>
      <c r="E31" s="422" t="n"/>
      <c r="F31" s="310" t="n"/>
      <c r="G31" s="310" t="n"/>
    </row>
    <row r="32" ht="24" customHeight="1">
      <c r="A32" s="424" t="n">
        <v>25</v>
      </c>
      <c r="B32" s="424" t="inlineStr">
        <is>
          <t>火</t>
        </is>
      </c>
      <c r="C32" s="421" t="inlineStr">
        <is>
          <t>月①②③、木④、月⑥⑦</t>
        </is>
      </c>
      <c r="D32" s="439" t="inlineStr">
        <is>
          <t>9:00～16:00</t>
        </is>
      </c>
      <c r="E32" s="421" t="n"/>
      <c r="F32" s="310" t="n"/>
      <c r="G32" s="310" t="n"/>
    </row>
    <row r="33" ht="24" customHeight="1">
      <c r="A33" s="424" t="n">
        <v>26</v>
      </c>
      <c r="B33" s="424" t="inlineStr">
        <is>
          <t>水</t>
        </is>
      </c>
      <c r="C33" s="421" t="n"/>
      <c r="D33" s="439" t="inlineStr">
        <is>
          <t>休み</t>
        </is>
      </c>
      <c r="E33" s="421" t="inlineStr">
        <is>
          <t>テスト期間</t>
        </is>
      </c>
      <c r="F33" s="310" t="n"/>
      <c r="G33" s="310" t="n"/>
    </row>
    <row r="34" ht="24" customHeight="1">
      <c r="A34" s="424" t="n">
        <v>27</v>
      </c>
      <c r="B34" s="424" t="inlineStr">
        <is>
          <t>木</t>
        </is>
      </c>
      <c r="C34" s="421" t="inlineStr">
        <is>
          <t>④生徒総会　SSW来校</t>
        </is>
      </c>
      <c r="D34" s="439" t="inlineStr">
        <is>
          <t>休み</t>
        </is>
      </c>
      <c r="E34" s="421" t="n"/>
      <c r="F34" s="310" t="n"/>
      <c r="G34" s="310" t="n"/>
    </row>
    <row r="35" ht="24" customHeight="1">
      <c r="A35" s="424" t="n">
        <v>28</v>
      </c>
      <c r="B35" s="424" t="inlineStr">
        <is>
          <t>金</t>
        </is>
      </c>
      <c r="C35" s="421" t="inlineStr">
        <is>
          <t>ＳＣ来校</t>
        </is>
      </c>
      <c r="D35" s="439" t="inlineStr">
        <is>
          <t>休み</t>
        </is>
      </c>
      <c r="E35" s="421" t="n"/>
      <c r="F35" s="310" t="n"/>
      <c r="G35" s="310" t="n"/>
    </row>
    <row r="36" ht="24" customHeight="1">
      <c r="A36" s="426" t="n">
        <v>29</v>
      </c>
      <c r="B36" s="426" t="inlineStr">
        <is>
          <t>土</t>
        </is>
      </c>
      <c r="C36" s="422" t="n"/>
      <c r="D36" s="438" t="inlineStr">
        <is>
          <t>休み</t>
        </is>
      </c>
      <c r="E36" s="422" t="n"/>
      <c r="F36" s="310" t="n"/>
      <c r="G36" s="310" t="n"/>
    </row>
    <row r="37" ht="24" customHeight="1">
      <c r="A37" s="426" t="n">
        <v>30</v>
      </c>
      <c r="B37" s="426" t="inlineStr">
        <is>
          <t>日</t>
        </is>
      </c>
      <c r="C37" s="422" t="n"/>
      <c r="D37" s="438" t="inlineStr">
        <is>
          <t>休み</t>
        </is>
      </c>
      <c r="E37" s="422" t="n"/>
      <c r="F37" s="310" t="n"/>
      <c r="G37" s="310" t="n"/>
    </row>
    <row r="38" ht="24" customHeight="1" thickBot="1">
      <c r="A38" s="424" t="n"/>
      <c r="B38" s="424" t="n"/>
      <c r="C38" s="420" t="n"/>
      <c r="D38" s="439" t="n"/>
      <c r="E38" s="420" t="n"/>
      <c r="F38" s="310" t="n"/>
      <c r="G38" s="310" t="n"/>
    </row>
    <row r="39" ht="126.75" customHeight="1" thickBot="1">
      <c r="A39" s="524" t="inlineStr">
        <is>
          <t>11/8アンサンブルコンテスト
12/26高文連</t>
        </is>
      </c>
      <c r="B39" s="525" t="n"/>
      <c r="C39" s="525" t="n"/>
      <c r="D39" s="525" t="n"/>
      <c r="E39" s="526" t="n"/>
      <c r="F39" s="406" t="n"/>
      <c r="G39" s="345" t="n"/>
    </row>
  </sheetData>
  <mergeCells count="7">
    <mergeCell ref="A39:E39"/>
    <mergeCell ref="A4:C4"/>
    <mergeCell ref="A1:C1"/>
    <mergeCell ref="A5:C5"/>
    <mergeCell ref="A3:C3"/>
    <mergeCell ref="A6:E6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4" horizontalDpi="4294967294"/>
</worksheet>
</file>

<file path=xl/worksheets/sheet7.xml><?xml version="1.0" encoding="utf-8"?>
<worksheet xmlns="http://schemas.openxmlformats.org/spreadsheetml/2006/main">
  <sheetPr codeName="Sheet6">
    <outlinePr summaryBelow="1" summaryRight="1"/>
    <pageSetUpPr fitToPage="1"/>
  </sheetPr>
  <dimension ref="A1:R39"/>
  <sheetViews>
    <sheetView view="pageBreakPreview" topLeftCell="A6" zoomScale="85" zoomScaleNormal="100" zoomScaleSheetLayoutView="85" workbookViewId="0">
      <selection activeCell="K26" sqref="K26"/>
    </sheetView>
  </sheetViews>
  <sheetFormatPr baseColWidth="8" defaultColWidth="9" defaultRowHeight="13.2"/>
  <cols>
    <col width="5.5546875" bestFit="1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407" t="inlineStr">
        <is>
          <t>2025年度　10月　吹奏楽部活動予定</t>
        </is>
      </c>
      <c r="B7" s="408" t="n"/>
      <c r="C7" s="408" t="n"/>
      <c r="D7" s="408" t="n"/>
      <c r="E7" s="409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425" t="n">
        <v>1</v>
      </c>
      <c r="B8" s="425" t="inlineStr">
        <is>
          <t>水</t>
        </is>
      </c>
      <c r="C8" s="421" t="n"/>
      <c r="D8" s="425" t="inlineStr">
        <is>
          <t>～18:00</t>
        </is>
      </c>
      <c r="E8" s="421" t="n"/>
      <c r="F8" s="310" t="inlineStr">
        <is>
          <t>１行  15.75</t>
        </is>
      </c>
      <c r="G8" s="310" t="n"/>
    </row>
    <row r="9" ht="24" customHeight="1">
      <c r="A9" s="424" t="n">
        <v>2</v>
      </c>
      <c r="B9" s="424" t="inlineStr">
        <is>
          <t>木</t>
        </is>
      </c>
      <c r="C9" s="421" t="inlineStr">
        <is>
          <t>④生徒会選挙、立会演説会　SC来校</t>
        </is>
      </c>
      <c r="D9" s="424" t="inlineStr">
        <is>
          <t>～18:00</t>
        </is>
      </c>
      <c r="E9" s="421" t="n"/>
      <c r="F9" s="310" t="inlineStr">
        <is>
          <t>MSPゴシック１２　日・曜日・行事</t>
        </is>
      </c>
      <c r="G9" s="310" t="n"/>
    </row>
    <row r="10" ht="24" customHeight="1">
      <c r="A10" s="424" t="n">
        <v>3</v>
      </c>
      <c r="B10" s="424" t="inlineStr">
        <is>
          <t>金</t>
        </is>
      </c>
      <c r="C10" s="421" t="inlineStr">
        <is>
          <t>SSW来校</t>
        </is>
      </c>
      <c r="D10" s="424" t="inlineStr">
        <is>
          <t>～18:00</t>
        </is>
      </c>
      <c r="E10" s="421" t="n"/>
      <c r="F10" s="310" t="n"/>
      <c r="G10" s="310" t="n"/>
    </row>
    <row r="11" ht="24" customHeight="1">
      <c r="A11" s="424" t="n">
        <v>4</v>
      </c>
      <c r="B11" s="424" t="inlineStr">
        <is>
          <t>土</t>
        </is>
      </c>
      <c r="C11" s="431" t="inlineStr">
        <is>
          <t>オープンスクール・第１回学校説明会　特時①②③昼④＋学校説明会＋部紹介ブース</t>
        </is>
      </c>
      <c r="D11" s="424" t="inlineStr">
        <is>
          <t>～17:00</t>
        </is>
      </c>
      <c r="E11" s="431" t="n"/>
      <c r="F11" s="310" t="n"/>
      <c r="G11" s="310" t="n"/>
    </row>
    <row r="12" ht="24" customHeight="1">
      <c r="A12" s="426" t="n">
        <v>5</v>
      </c>
      <c r="B12" s="426" t="inlineStr">
        <is>
          <t>日</t>
        </is>
      </c>
      <c r="C12" s="422" t="n"/>
      <c r="D12" s="426" t="inlineStr">
        <is>
          <t>8:30～12:45</t>
        </is>
      </c>
      <c r="E12" s="422" t="inlineStr">
        <is>
          <t>金程中（ミューザ吹奏楽祭出る人）</t>
        </is>
      </c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424" t="n">
        <v>6</v>
      </c>
      <c r="B13" s="424" t="inlineStr">
        <is>
          <t>月</t>
        </is>
      </c>
      <c r="C13" s="421" t="n"/>
      <c r="D13" s="424" t="inlineStr">
        <is>
          <t>休み</t>
        </is>
      </c>
      <c r="E13" s="421" t="n"/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424" t="n">
        <v>7</v>
      </c>
      <c r="B14" s="424" t="inlineStr">
        <is>
          <t>火</t>
        </is>
      </c>
      <c r="C14" s="421" t="n"/>
      <c r="D14" s="424" t="inlineStr">
        <is>
          <t>～18:00</t>
        </is>
      </c>
      <c r="E14" s="421" t="n"/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424" t="n">
        <v>8</v>
      </c>
      <c r="B15" s="424" t="inlineStr">
        <is>
          <t>水</t>
        </is>
      </c>
      <c r="C15" s="421" t="n"/>
      <c r="D15" s="424" t="inlineStr">
        <is>
          <t>休み</t>
        </is>
      </c>
      <c r="E15" s="421" t="n"/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424" t="n">
        <v>9</v>
      </c>
      <c r="B16" s="424" t="inlineStr">
        <is>
          <t>木</t>
        </is>
      </c>
      <c r="C16" s="421" t="inlineStr">
        <is>
          <t>SC来校</t>
        </is>
      </c>
      <c r="D16" s="424" t="inlineStr">
        <is>
          <t>休み</t>
        </is>
      </c>
      <c r="E16" s="421" t="n"/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426" t="n">
        <v>10</v>
      </c>
      <c r="B17" s="426" t="inlineStr">
        <is>
          <t>金</t>
        </is>
      </c>
      <c r="C17" s="422" t="inlineStr">
        <is>
          <t>オープンスクール代休</t>
        </is>
      </c>
      <c r="D17" s="426" t="inlineStr">
        <is>
          <t>休み</t>
        </is>
      </c>
      <c r="E17" s="422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426" t="n">
        <v>11</v>
      </c>
      <c r="B18" s="426" t="inlineStr">
        <is>
          <t>土</t>
        </is>
      </c>
      <c r="C18" s="422" t="n"/>
      <c r="D18" s="426" t="inlineStr">
        <is>
          <t>休み</t>
        </is>
      </c>
      <c r="E18" s="422" t="n"/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426" t="n">
        <v>12</v>
      </c>
      <c r="B19" s="426" t="inlineStr">
        <is>
          <t>日</t>
        </is>
      </c>
      <c r="C19" s="422" t="n"/>
      <c r="D19" s="426" t="inlineStr">
        <is>
          <t>8:30～12:45</t>
        </is>
      </c>
      <c r="E19" s="422" t="inlineStr">
        <is>
          <t>桐光学園（ミューザ吹奏楽祭出る人）</t>
        </is>
      </c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426" t="n">
        <v>13</v>
      </c>
      <c r="B20" s="426" t="inlineStr">
        <is>
          <t>月</t>
        </is>
      </c>
      <c r="C20" s="422" t="inlineStr">
        <is>
          <t>スポーツの日</t>
        </is>
      </c>
      <c r="D20" s="426" t="inlineStr">
        <is>
          <t>本番</t>
        </is>
      </c>
      <c r="E20" s="422" t="inlineStr">
        <is>
          <t>ミューザ川崎吹奏楽祭（出る人）</t>
        </is>
      </c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424" t="n">
        <v>14</v>
      </c>
      <c r="B21" s="424" t="inlineStr">
        <is>
          <t>火</t>
        </is>
      </c>
      <c r="C21" s="421" t="inlineStr">
        <is>
          <t>45×6</t>
        </is>
      </c>
      <c r="D21" s="424" t="inlineStr">
        <is>
          <t>休み</t>
        </is>
      </c>
      <c r="E21" s="421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424" t="n">
        <v>15</v>
      </c>
      <c r="B22" s="424" t="inlineStr">
        <is>
          <t>水</t>
        </is>
      </c>
      <c r="C22" s="420" t="inlineStr">
        <is>
          <t>中間テスト　服装・頭髪検査（テスト期間）</t>
        </is>
      </c>
      <c r="D22" s="424" t="inlineStr">
        <is>
          <t>休み</t>
        </is>
      </c>
      <c r="E22" s="420" t="n"/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424" t="n">
        <v>16</v>
      </c>
      <c r="B23" s="424" t="inlineStr">
        <is>
          <t>木</t>
        </is>
      </c>
      <c r="C23" s="420" t="inlineStr">
        <is>
          <t>中間テスト　喫食訓練</t>
        </is>
      </c>
      <c r="D23" s="424" t="inlineStr">
        <is>
          <t>～17:00</t>
        </is>
      </c>
      <c r="E23" s="420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424" t="n">
        <v>17</v>
      </c>
      <c r="B24" s="424" t="inlineStr">
        <is>
          <t>金</t>
        </is>
      </c>
      <c r="C24" s="421" t="inlineStr">
        <is>
          <t>SSW来校</t>
        </is>
      </c>
      <c r="D24" s="424" t="inlineStr">
        <is>
          <t>～18:00</t>
        </is>
      </c>
      <c r="E24" s="421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426" t="n">
        <v>18</v>
      </c>
      <c r="B25" s="426" t="inlineStr">
        <is>
          <t>土</t>
        </is>
      </c>
      <c r="C25" s="422" t="n"/>
      <c r="D25" s="426" t="inlineStr">
        <is>
          <t>9:00～16:00</t>
        </is>
      </c>
      <c r="E25" s="422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426" t="n">
        <v>19</v>
      </c>
      <c r="B26" s="426" t="inlineStr">
        <is>
          <t>日</t>
        </is>
      </c>
      <c r="C26" s="422" t="n"/>
      <c r="D26" s="426" t="inlineStr">
        <is>
          <t>休み</t>
        </is>
      </c>
      <c r="E26" s="422" t="n"/>
      <c r="F26" s="310" t="n"/>
      <c r="G26" s="310" t="n"/>
    </row>
    <row r="27" ht="24" customHeight="1">
      <c r="A27" s="424" t="n">
        <v>20</v>
      </c>
      <c r="B27" s="424" t="inlineStr">
        <is>
          <t>月</t>
        </is>
      </c>
      <c r="C27" s="421" t="n"/>
      <c r="D27" s="424" t="inlineStr">
        <is>
          <t>休み</t>
        </is>
      </c>
      <c r="E27" s="421" t="n"/>
      <c r="F27" s="310" t="n"/>
      <c r="G27" s="310" t="n"/>
    </row>
    <row r="28" ht="24" customHeight="1">
      <c r="A28" s="424" t="n">
        <v>21</v>
      </c>
      <c r="B28" s="424" t="inlineStr">
        <is>
          <t>火</t>
        </is>
      </c>
      <c r="C28" s="421" t="n"/>
      <c r="D28" s="424" t="inlineStr">
        <is>
          <t>～18:00</t>
        </is>
      </c>
      <c r="E28" s="421" t="n"/>
      <c r="F28" s="310" t="n"/>
      <c r="G28" s="310" t="n"/>
    </row>
    <row r="29" ht="24" customHeight="1">
      <c r="A29" s="424" t="n">
        <v>22</v>
      </c>
      <c r="B29" s="424" t="inlineStr">
        <is>
          <t>水</t>
        </is>
      </c>
      <c r="C29" s="421" t="n"/>
      <c r="D29" s="424" t="inlineStr">
        <is>
          <t>～18:00</t>
        </is>
      </c>
      <c r="E29" s="421" t="n"/>
      <c r="F29" s="310" t="n"/>
      <c r="G29" s="310" t="n"/>
    </row>
    <row r="30" ht="24" customHeight="1">
      <c r="A30" s="424" t="n">
        <v>23</v>
      </c>
      <c r="B30" s="424" t="inlineStr">
        <is>
          <t>木</t>
        </is>
      </c>
      <c r="C30" s="421" t="inlineStr">
        <is>
          <t>④地域清掃1年　SC来校</t>
        </is>
      </c>
      <c r="D30" s="424" t="inlineStr">
        <is>
          <t>～18:00</t>
        </is>
      </c>
      <c r="E30" s="421" t="n"/>
      <c r="F30" s="310" t="n"/>
      <c r="G30" s="310" t="n"/>
    </row>
    <row r="31" ht="24" customHeight="1">
      <c r="A31" s="424" t="n">
        <v>24</v>
      </c>
      <c r="B31" s="424" t="inlineStr">
        <is>
          <t>金</t>
        </is>
      </c>
      <c r="C31" s="421" t="inlineStr">
        <is>
          <t>職員会議　SSW来校</t>
        </is>
      </c>
      <c r="D31" s="424" t="inlineStr">
        <is>
          <t>～18:00</t>
        </is>
      </c>
      <c r="E31" s="421" t="n"/>
      <c r="F31" s="310" t="n"/>
      <c r="G31" s="310" t="n"/>
    </row>
    <row r="32" ht="24" customHeight="1">
      <c r="A32" s="426" t="n">
        <v>25</v>
      </c>
      <c r="B32" s="426" t="inlineStr">
        <is>
          <t>土</t>
        </is>
      </c>
      <c r="C32" s="423" t="n"/>
      <c r="D32" s="426" t="inlineStr">
        <is>
          <t>9:00～16:00</t>
        </is>
      </c>
      <c r="E32" s="423" t="n"/>
      <c r="F32" s="310" t="n"/>
      <c r="G32" s="310" t="n"/>
    </row>
    <row r="33" ht="24" customHeight="1">
      <c r="A33" s="426" t="n">
        <v>26</v>
      </c>
      <c r="B33" s="426" t="inlineStr">
        <is>
          <t>日</t>
        </is>
      </c>
      <c r="C33" s="422" t="n"/>
      <c r="D33" s="426" t="inlineStr">
        <is>
          <t>休み</t>
        </is>
      </c>
      <c r="E33" s="422" t="n"/>
      <c r="F33" s="310" t="n"/>
      <c r="G33" s="310" t="n"/>
    </row>
    <row r="34" ht="24" customHeight="1">
      <c r="A34" s="424" t="n">
        <v>27</v>
      </c>
      <c r="B34" s="424" t="inlineStr">
        <is>
          <t>月</t>
        </is>
      </c>
      <c r="C34" s="421" t="inlineStr">
        <is>
          <t>修学旅行事前学習発表（２年体育館）</t>
        </is>
      </c>
      <c r="D34" s="424" t="inlineStr">
        <is>
          <t>休み</t>
        </is>
      </c>
      <c r="E34" s="421" t="n"/>
      <c r="F34" s="310" t="n"/>
      <c r="G34" s="310" t="n"/>
    </row>
    <row r="35" ht="24" customHeight="1">
      <c r="A35" s="424" t="n">
        <v>28</v>
      </c>
      <c r="B35" s="424" t="inlineStr">
        <is>
          <t>火</t>
        </is>
      </c>
      <c r="C35" s="420" t="inlineStr">
        <is>
          <t>2年修学旅行　特別時間割</t>
        </is>
      </c>
      <c r="D35" s="424" t="inlineStr">
        <is>
          <t>～18:00</t>
        </is>
      </c>
      <c r="E35" s="420" t="inlineStr">
        <is>
          <t>１年生のみ</t>
        </is>
      </c>
      <c r="F35" s="310" t="n"/>
      <c r="G35" s="310" t="n"/>
    </row>
    <row r="36" ht="24" customHeight="1">
      <c r="A36" s="424" t="n">
        <v>29</v>
      </c>
      <c r="B36" s="424" t="inlineStr">
        <is>
          <t>水</t>
        </is>
      </c>
      <c r="C36" s="420" t="inlineStr">
        <is>
          <t>2年修学旅行　特別時間割　1年：専修大学体験入学　3年：校外学習</t>
        </is>
      </c>
      <c r="D36" s="424" t="inlineStr">
        <is>
          <t>休み</t>
        </is>
      </c>
      <c r="E36" s="420" t="n"/>
      <c r="F36" s="310" t="n"/>
      <c r="G36" s="310" t="n"/>
    </row>
    <row r="37" ht="24" customHeight="1">
      <c r="A37" s="424" t="n">
        <v>30</v>
      </c>
      <c r="B37" s="424" t="inlineStr">
        <is>
          <t>木</t>
        </is>
      </c>
      <c r="C37" s="420" t="inlineStr">
        <is>
          <t>2年修学旅行　特別時間割  ④地域清掃３年　SC来校</t>
        </is>
      </c>
      <c r="D37" s="424" t="inlineStr">
        <is>
          <t>～18:00</t>
        </is>
      </c>
      <c r="E37" s="420" t="inlineStr">
        <is>
          <t>１年生のみ</t>
        </is>
      </c>
      <c r="F37" s="310" t="n"/>
      <c r="G37" s="310" t="n"/>
    </row>
    <row r="38" ht="24" customHeight="1" thickBot="1">
      <c r="A38" s="424" t="n">
        <v>31</v>
      </c>
      <c r="B38" s="424" t="inlineStr">
        <is>
          <t>金</t>
        </is>
      </c>
      <c r="C38" s="420" t="inlineStr">
        <is>
          <t>2年修学旅行　特別時間割　SSW来校</t>
        </is>
      </c>
      <c r="D38" s="424" t="inlineStr">
        <is>
          <t>～18:00</t>
        </is>
      </c>
      <c r="E38" s="420" t="inlineStr">
        <is>
          <t>１年生のみ</t>
        </is>
      </c>
      <c r="F38" s="310" t="n"/>
      <c r="G38" s="310" t="n"/>
    </row>
    <row r="39" ht="126.75" customHeight="1" thickBot="1">
      <c r="A39" s="524" t="inlineStr">
        <is>
          <t>11/8アンサンブルコンテスト
12/26</t>
        </is>
      </c>
      <c r="B39" s="525" t="n"/>
      <c r="C39" s="525" t="n"/>
      <c r="D39" s="525" t="n"/>
      <c r="E39" s="526" t="n"/>
      <c r="F39" s="406" t="n"/>
      <c r="G39" s="345" t="n"/>
    </row>
  </sheetData>
  <mergeCells count="7">
    <mergeCell ref="A39:E39"/>
    <mergeCell ref="A4:C4"/>
    <mergeCell ref="A1:C1"/>
    <mergeCell ref="A5:C5"/>
    <mergeCell ref="A3:C3"/>
    <mergeCell ref="A6:E6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4" horizontalDpi="4294967294"/>
</worksheet>
</file>

<file path=xl/worksheets/sheet8.xml><?xml version="1.0" encoding="utf-8"?>
<worksheet xmlns="http://schemas.openxmlformats.org/spreadsheetml/2006/main">
  <sheetPr codeName="Sheet7">
    <outlinePr summaryBelow="1" summaryRight="1"/>
    <pageSetUpPr fitToPage="1"/>
  </sheetPr>
  <dimension ref="A1:R39"/>
  <sheetViews>
    <sheetView view="pageBreakPreview" topLeftCell="A22" zoomScale="85" zoomScaleNormal="100" zoomScaleSheetLayoutView="85" workbookViewId="0">
      <selection activeCell="E10" sqref="E10"/>
    </sheetView>
  </sheetViews>
  <sheetFormatPr baseColWidth="8" defaultColWidth="9" defaultRowHeight="13.2"/>
  <cols>
    <col width="5.5546875" bestFit="1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407" t="inlineStr">
        <is>
          <t>2025年度　9月　吹奏楽部活動予定</t>
        </is>
      </c>
      <c r="B7" s="408" t="n"/>
      <c r="C7" s="408" t="n"/>
      <c r="D7" s="408" t="n"/>
      <c r="E7" s="409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425" t="n">
        <v>1</v>
      </c>
      <c r="B8" s="425" t="inlineStr">
        <is>
          <t>月</t>
        </is>
      </c>
      <c r="C8" s="427" t="inlineStr">
        <is>
          <t>40×7　PTAあいさつ運動</t>
        </is>
      </c>
      <c r="D8" s="425" t="inlineStr">
        <is>
          <t>～18:00</t>
        </is>
      </c>
      <c r="E8" s="420" t="n"/>
      <c r="F8" s="310" t="inlineStr">
        <is>
          <t>１行  15.75</t>
        </is>
      </c>
      <c r="G8" s="310" t="n"/>
    </row>
    <row r="9" ht="24" customHeight="1">
      <c r="A9" s="424" t="n">
        <v>2</v>
      </c>
      <c r="B9" s="424" t="inlineStr">
        <is>
          <t>火</t>
        </is>
      </c>
      <c r="C9" s="427" t="inlineStr">
        <is>
          <t>40×6</t>
        </is>
      </c>
      <c r="D9" s="424" t="inlineStr">
        <is>
          <t>～18:00</t>
        </is>
      </c>
      <c r="E9" s="420" t="n"/>
      <c r="F9" s="310" t="inlineStr">
        <is>
          <t>MSPゴシック１２　日・曜日・行事</t>
        </is>
      </c>
      <c r="G9" s="310" t="n"/>
    </row>
    <row r="10" ht="24" customHeight="1">
      <c r="A10" s="424" t="n">
        <v>3</v>
      </c>
      <c r="B10" s="424" t="inlineStr">
        <is>
          <t>水</t>
        </is>
      </c>
      <c r="C10" s="427" t="inlineStr">
        <is>
          <t>40×6</t>
        </is>
      </c>
      <c r="D10" s="424" t="inlineStr">
        <is>
          <t>～18:00</t>
        </is>
      </c>
      <c r="E10" s="420" t="n"/>
      <c r="F10" s="310" t="n"/>
      <c r="G10" s="310" t="n"/>
    </row>
    <row r="11" ht="24" customHeight="1">
      <c r="A11" s="424" t="n">
        <v>4</v>
      </c>
      <c r="B11" s="424" t="inlineStr">
        <is>
          <t>木</t>
        </is>
      </c>
      <c r="C11" s="428" t="inlineStr">
        <is>
          <t>文化祭全日準備①</t>
        </is>
      </c>
      <c r="D11" s="424" t="inlineStr">
        <is>
          <t>リハーサル</t>
        </is>
      </c>
      <c r="E11" s="421" t="inlineStr">
        <is>
          <t>おそらく合奏はリハの時間のみしかできない</t>
        </is>
      </c>
      <c r="F11" s="310" t="n"/>
      <c r="G11" s="310" t="n"/>
    </row>
    <row r="12" ht="24" customHeight="1">
      <c r="A12" s="424" t="n">
        <v>5</v>
      </c>
      <c r="B12" s="424" t="inlineStr">
        <is>
          <t>金</t>
        </is>
      </c>
      <c r="C12" s="428" t="inlineStr">
        <is>
          <t>文化祭全日準備②　SSW来校</t>
        </is>
      </c>
      <c r="D12" s="424" t="inlineStr">
        <is>
          <t>リハーサル</t>
        </is>
      </c>
      <c r="E12" s="421" t="inlineStr">
        <is>
          <t>おそらく合奏はリハの時間のみしかできない</t>
        </is>
      </c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424" t="n">
        <v>6</v>
      </c>
      <c r="B13" s="424" t="inlineStr">
        <is>
          <t>土</t>
        </is>
      </c>
      <c r="C13" s="428" t="inlineStr">
        <is>
          <t>文化祭①</t>
        </is>
      </c>
      <c r="D13" s="424" t="inlineStr">
        <is>
          <t>本番</t>
        </is>
      </c>
      <c r="E13" s="421" t="n"/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424" t="n">
        <v>7</v>
      </c>
      <c r="B14" s="424" t="inlineStr">
        <is>
          <t>日</t>
        </is>
      </c>
      <c r="C14" s="428" t="inlineStr">
        <is>
          <t>文化祭②</t>
        </is>
      </c>
      <c r="D14" s="424" t="inlineStr">
        <is>
          <t>本番</t>
        </is>
      </c>
      <c r="E14" s="421" t="n"/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424" t="n">
        <v>8</v>
      </c>
      <c r="B15" s="424" t="inlineStr">
        <is>
          <t>月</t>
        </is>
      </c>
      <c r="C15" s="427" t="inlineStr">
        <is>
          <t>片付け、LHR</t>
        </is>
      </c>
      <c r="D15" s="424" t="inlineStr">
        <is>
          <t>片付け</t>
        </is>
      </c>
      <c r="E15" s="420" t="n"/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426" t="n">
        <v>9</v>
      </c>
      <c r="B16" s="426" t="inlineStr">
        <is>
          <t>火</t>
        </is>
      </c>
      <c r="C16" s="429" t="inlineStr">
        <is>
          <t>代休</t>
        </is>
      </c>
      <c r="D16" s="426" t="inlineStr">
        <is>
          <t>休み</t>
        </is>
      </c>
      <c r="E16" s="422" t="n"/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426" t="n">
        <v>10</v>
      </c>
      <c r="B17" s="426" t="inlineStr">
        <is>
          <t>水</t>
        </is>
      </c>
      <c r="C17" s="429" t="inlineStr">
        <is>
          <t>代休</t>
        </is>
      </c>
      <c r="D17" s="426" t="inlineStr">
        <is>
          <t>休み</t>
        </is>
      </c>
      <c r="E17" s="422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424" t="n">
        <v>11</v>
      </c>
      <c r="B18" s="424" t="inlineStr">
        <is>
          <t>木</t>
        </is>
      </c>
      <c r="C18" s="427" t="inlineStr">
        <is>
          <t>40×6　推薦原案作成会議①　SC来校</t>
        </is>
      </c>
      <c r="D18" s="424" t="inlineStr">
        <is>
          <t>～18:00</t>
        </is>
      </c>
      <c r="E18" s="420" t="n"/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424" t="n">
        <v>12</v>
      </c>
      <c r="B19" s="424" t="inlineStr">
        <is>
          <t>金</t>
        </is>
      </c>
      <c r="C19" s="427" t="inlineStr">
        <is>
          <t>40×6　推薦原案作成会議②　SSW来校</t>
        </is>
      </c>
      <c r="D19" s="424" t="inlineStr">
        <is>
          <t>～18:00</t>
        </is>
      </c>
      <c r="E19" s="420" t="n"/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426" t="n">
        <v>13</v>
      </c>
      <c r="B20" s="426" t="inlineStr">
        <is>
          <t>土</t>
        </is>
      </c>
      <c r="C20" s="430" t="n"/>
      <c r="D20" s="426" t="inlineStr">
        <is>
          <t>9:00～16:00</t>
        </is>
      </c>
      <c r="E20" s="423" t="n"/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426" t="n">
        <v>14</v>
      </c>
      <c r="B21" s="426" t="inlineStr">
        <is>
          <t>日</t>
        </is>
      </c>
      <c r="C21" s="429" t="n"/>
      <c r="D21" s="426" t="inlineStr">
        <is>
          <t>休み</t>
        </is>
      </c>
      <c r="E21" s="422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426" t="n">
        <v>15</v>
      </c>
      <c r="B22" s="426" t="inlineStr">
        <is>
          <t>月</t>
        </is>
      </c>
      <c r="C22" s="429" t="inlineStr">
        <is>
          <t>敬老の日</t>
        </is>
      </c>
      <c r="D22" s="426" t="inlineStr">
        <is>
          <t>休み</t>
        </is>
      </c>
      <c r="E22" s="422" t="n"/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424" t="n">
        <v>16</v>
      </c>
      <c r="B23" s="424" t="inlineStr">
        <is>
          <t>火</t>
        </is>
      </c>
      <c r="C23" s="428" t="n"/>
      <c r="D23" s="424" t="inlineStr">
        <is>
          <t>～18:00</t>
        </is>
      </c>
      <c r="E23" s="421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424" t="n">
        <v>17</v>
      </c>
      <c r="B24" s="424" t="inlineStr">
        <is>
          <t>水</t>
        </is>
      </c>
      <c r="C24" s="427" t="inlineStr">
        <is>
          <t>40×6　第１回推薦会議①</t>
        </is>
      </c>
      <c r="D24" s="424" t="inlineStr">
        <is>
          <t>～18:00</t>
        </is>
      </c>
      <c r="E24" s="420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424" t="n">
        <v>18</v>
      </c>
      <c r="B25" s="424" t="inlineStr">
        <is>
          <t>木</t>
        </is>
      </c>
      <c r="C25" s="431" t="inlineStr">
        <is>
          <t>40×6　月①～③木④月⑤⑥　第１回推薦会議②　SC</t>
        </is>
      </c>
      <c r="D25" s="424" t="inlineStr">
        <is>
          <t>～18:00</t>
        </is>
      </c>
      <c r="E25" s="420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424" t="n">
        <v>19</v>
      </c>
      <c r="B26" s="424" t="inlineStr">
        <is>
          <t>金</t>
        </is>
      </c>
      <c r="C26" s="427" t="inlineStr">
        <is>
          <t>職員会議　推薦結果通知　SSW来校</t>
        </is>
      </c>
      <c r="D26" s="424" t="inlineStr">
        <is>
          <t>～18:00</t>
        </is>
      </c>
      <c r="E26" s="420" t="n"/>
      <c r="F26" s="310" t="n"/>
      <c r="G26" s="310" t="n"/>
    </row>
    <row r="27" ht="24" customHeight="1">
      <c r="A27" s="426" t="n">
        <v>20</v>
      </c>
      <c r="B27" s="426" t="inlineStr">
        <is>
          <t>土</t>
        </is>
      </c>
      <c r="C27" s="430" t="n"/>
      <c r="D27" s="426" t="inlineStr">
        <is>
          <t>9:00～16:00</t>
        </is>
      </c>
      <c r="E27" s="423" t="n"/>
      <c r="F27" s="310" t="n"/>
      <c r="G27" s="310" t="n"/>
    </row>
    <row r="28" ht="24" customHeight="1">
      <c r="A28" s="426" t="n">
        <v>21</v>
      </c>
      <c r="B28" s="426" t="inlineStr">
        <is>
          <t>日</t>
        </is>
      </c>
      <c r="C28" s="429" t="n"/>
      <c r="D28" s="426" t="inlineStr">
        <is>
          <t>休み</t>
        </is>
      </c>
      <c r="E28" s="422" t="n"/>
      <c r="F28" s="310" t="n"/>
      <c r="G28" s="310" t="n"/>
    </row>
    <row r="29" ht="24" customHeight="1">
      <c r="A29" s="424" t="n">
        <v>22</v>
      </c>
      <c r="B29" s="424" t="inlineStr">
        <is>
          <t>月</t>
        </is>
      </c>
      <c r="C29" s="428" t="n"/>
      <c r="D29" s="424" t="inlineStr">
        <is>
          <t>休み</t>
        </is>
      </c>
      <c r="E29" s="421" t="n"/>
      <c r="F29" s="310" t="n"/>
      <c r="G29" s="310" t="n"/>
    </row>
    <row r="30" ht="24" customHeight="1">
      <c r="A30" s="426" t="n">
        <v>23</v>
      </c>
      <c r="B30" s="426" t="inlineStr">
        <is>
          <t>火</t>
        </is>
      </c>
      <c r="C30" s="429" t="inlineStr">
        <is>
          <t>秋分の日</t>
        </is>
      </c>
      <c r="D30" s="426" t="inlineStr">
        <is>
          <t>9:00～16:00</t>
        </is>
      </c>
      <c r="E30" s="422" t="n"/>
      <c r="F30" s="310" t="n"/>
      <c r="G30" s="310" t="n"/>
    </row>
    <row r="31" ht="24" customHeight="1">
      <c r="A31" s="424" t="n">
        <v>24</v>
      </c>
      <c r="B31" s="424" t="inlineStr">
        <is>
          <t>水</t>
        </is>
      </c>
      <c r="C31" s="428" t="inlineStr">
        <is>
          <t xml:space="preserve">第２回推薦願締切　</t>
        </is>
      </c>
      <c r="D31" s="424" t="inlineStr">
        <is>
          <t>～18:00</t>
        </is>
      </c>
      <c r="E31" s="421" t="n"/>
      <c r="F31" s="310" t="n"/>
      <c r="G31" s="310" t="n"/>
    </row>
    <row r="32" ht="24" customHeight="1">
      <c r="A32" s="424" t="n">
        <v>25</v>
      </c>
      <c r="B32" s="424" t="inlineStr">
        <is>
          <t>木</t>
        </is>
      </c>
      <c r="C32" s="420" t="inlineStr">
        <is>
          <t>生徒会役員選挙活動期間（10/1まで）　SC来校</t>
        </is>
      </c>
      <c r="D32" s="424" t="inlineStr">
        <is>
          <t>～18:00</t>
        </is>
      </c>
      <c r="E32" s="420" t="n"/>
      <c r="F32" s="310" t="n"/>
      <c r="G32" s="310" t="n"/>
    </row>
    <row r="33" ht="24" customHeight="1">
      <c r="A33" s="424" t="n">
        <v>26</v>
      </c>
      <c r="B33" s="424" t="inlineStr">
        <is>
          <t>金</t>
        </is>
      </c>
      <c r="C33" s="421" t="inlineStr">
        <is>
          <t>推薦原案作成会議　PTA観劇鑑賞会　SSW来校</t>
        </is>
      </c>
      <c r="D33" s="424" t="inlineStr">
        <is>
          <t>～18:00</t>
        </is>
      </c>
      <c r="E33" s="421" t="n"/>
      <c r="F33" s="310" t="n"/>
      <c r="G33" s="310" t="n"/>
    </row>
    <row r="34" ht="24" customHeight="1">
      <c r="A34" s="426" t="n">
        <v>27</v>
      </c>
      <c r="B34" s="426" t="inlineStr">
        <is>
          <t>土</t>
        </is>
      </c>
      <c r="C34" s="429" t="n"/>
      <c r="D34" s="426" t="inlineStr">
        <is>
          <t>本番</t>
        </is>
      </c>
      <c r="E34" s="422" t="inlineStr">
        <is>
          <t>ハートフルコンサート（千代ヶ丘小）</t>
        </is>
      </c>
      <c r="F34" s="310" t="n"/>
      <c r="G34" s="310" t="n"/>
    </row>
    <row r="35" ht="24" customHeight="1">
      <c r="A35" s="426" t="n">
        <v>28</v>
      </c>
      <c r="B35" s="426" t="inlineStr">
        <is>
          <t>日</t>
        </is>
      </c>
      <c r="C35" s="430" t="n"/>
      <c r="D35" s="426" t="inlineStr">
        <is>
          <t>休み</t>
        </is>
      </c>
      <c r="E35" s="423" t="n"/>
      <c r="F35" s="310" t="n"/>
      <c r="G35" s="310" t="n"/>
    </row>
    <row r="36" ht="24" customHeight="1">
      <c r="A36" s="424" t="n">
        <v>29</v>
      </c>
      <c r="B36" s="424" t="inlineStr">
        <is>
          <t>月</t>
        </is>
      </c>
      <c r="C36" s="428" t="n"/>
      <c r="D36" s="424" t="inlineStr">
        <is>
          <t>休み</t>
        </is>
      </c>
      <c r="E36" s="421" t="n"/>
      <c r="F36" s="310" t="n"/>
      <c r="G36" s="310" t="n"/>
    </row>
    <row r="37" ht="24" customHeight="1">
      <c r="A37" s="424" t="n">
        <v>30</v>
      </c>
      <c r="B37" s="424" t="inlineStr">
        <is>
          <t>火</t>
        </is>
      </c>
      <c r="C37" s="428" t="inlineStr">
        <is>
          <t xml:space="preserve">第2回推薦会議　</t>
        </is>
      </c>
      <c r="D37" s="424" t="inlineStr">
        <is>
          <t>～18:00</t>
        </is>
      </c>
      <c r="E37" s="421" t="n"/>
      <c r="F37" s="310" t="n"/>
      <c r="G37" s="310" t="n"/>
    </row>
    <row r="38" ht="24" customHeight="1" thickBot="1">
      <c r="A38" s="432" t="n">
        <v>1</v>
      </c>
      <c r="B38" s="432" t="inlineStr">
        <is>
          <t>水</t>
        </is>
      </c>
      <c r="C38" s="433" t="inlineStr">
        <is>
          <t>40×7　PTAあいさつ運動</t>
        </is>
      </c>
      <c r="D38" s="432" t="inlineStr">
        <is>
          <t>～18:00</t>
        </is>
      </c>
      <c r="E38" s="434" t="n"/>
      <c r="F38" s="310" t="n"/>
      <c r="G38" s="310" t="n"/>
    </row>
    <row r="39" ht="126.75" customHeight="1" thickBot="1">
      <c r="A39" s="524" t="inlineStr">
        <is>
          <t>ミューザ川崎吹奏楽祭10/13（10/5,10/12練習）
アンサンブルコンテスト11/8</t>
        </is>
      </c>
      <c r="B39" s="525" t="n"/>
      <c r="C39" s="525" t="n"/>
      <c r="D39" s="525" t="n"/>
      <c r="E39" s="526" t="n"/>
      <c r="F39" s="406" t="n"/>
      <c r="G39" s="345" t="n"/>
    </row>
  </sheetData>
  <mergeCells count="7">
    <mergeCell ref="A39:E39"/>
    <mergeCell ref="A4:C4"/>
    <mergeCell ref="A1:C1"/>
    <mergeCell ref="A5:C5"/>
    <mergeCell ref="A3:C3"/>
    <mergeCell ref="A6:E6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4" horizontalDpi="4294967294"/>
</worksheet>
</file>

<file path=xl/worksheets/sheet9.xml><?xml version="1.0" encoding="utf-8"?>
<worksheet xmlns="http://schemas.openxmlformats.org/spreadsheetml/2006/main">
  <sheetPr codeName="Sheet8">
    <outlinePr summaryBelow="1" summaryRight="1"/>
    <pageSetUpPr fitToPage="1"/>
  </sheetPr>
  <dimension ref="A1:R39"/>
  <sheetViews>
    <sheetView view="pageBreakPreview" zoomScale="85" zoomScaleNormal="100" zoomScaleSheetLayoutView="85" workbookViewId="0">
      <selection activeCell="L21" sqref="L21"/>
    </sheetView>
  </sheetViews>
  <sheetFormatPr baseColWidth="8" defaultColWidth="9" defaultRowHeight="13.2"/>
  <cols>
    <col width="5.5546875" bestFit="1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407" t="inlineStr">
        <is>
          <t>2025年度　8月　吹奏楽部活動予定（県大会無しバージョン）</t>
        </is>
      </c>
      <c r="B7" s="408" t="n"/>
      <c r="C7" s="408" t="n"/>
      <c r="D7" s="408" t="n"/>
      <c r="E7" s="409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530" t="n">
        <v>44408</v>
      </c>
      <c r="B8" s="531" t="n">
        <v>44408</v>
      </c>
      <c r="C8" s="412" t="inlineStr">
        <is>
          <t>公私合同説明会</t>
        </is>
      </c>
      <c r="D8" s="412" t="inlineStr">
        <is>
          <t>休み</t>
        </is>
      </c>
      <c r="E8" s="412" t="n"/>
      <c r="F8" s="310" t="inlineStr">
        <is>
          <t>１行  15.75</t>
        </is>
      </c>
      <c r="G8" s="310" t="n"/>
    </row>
    <row r="9" ht="24" customHeight="1">
      <c r="A9" s="532" t="n">
        <v>44409</v>
      </c>
      <c r="B9" s="533" t="n">
        <v>44409</v>
      </c>
      <c r="C9" s="415" t="n"/>
      <c r="D9" s="415" t="inlineStr">
        <is>
          <t>9:00～16:00</t>
        </is>
      </c>
      <c r="E9" s="415" t="inlineStr">
        <is>
          <t>文化祭の練習↓</t>
        </is>
      </c>
      <c r="F9" s="310" t="inlineStr">
        <is>
          <t>MSPゴシック１２　日・曜日・行事</t>
        </is>
      </c>
      <c r="G9" s="310" t="n"/>
    </row>
    <row r="10" ht="24" customHeight="1">
      <c r="A10" s="532" t="n">
        <v>44410</v>
      </c>
      <c r="B10" s="533" t="n">
        <v>44410</v>
      </c>
      <c r="C10" s="415" t="n"/>
      <c r="D10" s="415" t="inlineStr">
        <is>
          <t>休み</t>
        </is>
      </c>
      <c r="E10" s="415" t="n"/>
      <c r="F10" s="310" t="n"/>
      <c r="G10" s="310" t="n"/>
    </row>
    <row r="11" ht="24" customHeight="1">
      <c r="A11" s="534" t="n">
        <v>44411</v>
      </c>
      <c r="B11" s="535" t="n">
        <v>44411</v>
      </c>
      <c r="C11" s="412" t="n"/>
      <c r="D11" s="412" t="inlineStr">
        <is>
          <t>休み</t>
        </is>
      </c>
      <c r="E11" s="412" t="n"/>
      <c r="F11" s="310" t="n"/>
      <c r="G11" s="310" t="n"/>
    </row>
    <row r="12" ht="24" customHeight="1">
      <c r="A12" s="534" t="n">
        <v>44412</v>
      </c>
      <c r="B12" s="535" t="n">
        <v>44412</v>
      </c>
      <c r="C12" s="412" t="n"/>
      <c r="D12" s="412" t="inlineStr">
        <is>
          <t>休み</t>
        </is>
      </c>
      <c r="E12" s="412" t="inlineStr">
        <is>
          <t>中田不在</t>
        </is>
      </c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534" t="n">
        <v>44413</v>
      </c>
      <c r="B13" s="535" t="n">
        <v>44413</v>
      </c>
      <c r="C13" s="412" t="n"/>
      <c r="D13" s="412" t="inlineStr">
        <is>
          <t>9:00～16:00</t>
        </is>
      </c>
      <c r="E13" s="412" t="n"/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534" t="n">
        <v>44414</v>
      </c>
      <c r="B14" s="535" t="n">
        <v>44414</v>
      </c>
      <c r="C14" s="412" t="n"/>
      <c r="D14" s="412" t="inlineStr">
        <is>
          <t>9:00～16:00</t>
        </is>
      </c>
      <c r="E14" s="412" t="n"/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534" t="n">
        <v>44415</v>
      </c>
      <c r="B15" s="535" t="n">
        <v>44415</v>
      </c>
      <c r="C15" s="412" t="n"/>
      <c r="D15" s="412" t="inlineStr">
        <is>
          <t>9:00～16:00</t>
        </is>
      </c>
      <c r="E15" s="412" t="n"/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532" t="n">
        <v>44416</v>
      </c>
      <c r="B16" s="533" t="n">
        <v>44416</v>
      </c>
      <c r="C16" s="415" t="n"/>
      <c r="D16" s="415" t="inlineStr">
        <is>
          <t>休み</t>
        </is>
      </c>
      <c r="E16" s="415" t="inlineStr">
        <is>
          <t>中田不在</t>
        </is>
      </c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532" t="n">
        <v>44417</v>
      </c>
      <c r="B17" s="533" t="n">
        <v>44417</v>
      </c>
      <c r="C17" s="415" t="n"/>
      <c r="D17" s="415" t="inlineStr">
        <is>
          <t>休み</t>
        </is>
      </c>
      <c r="E17" s="415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532" t="n">
        <v>44418</v>
      </c>
      <c r="B18" s="533" t="n">
        <v>44418</v>
      </c>
      <c r="C18" s="415" t="inlineStr">
        <is>
          <t>山の日</t>
        </is>
      </c>
      <c r="D18" s="415" t="inlineStr">
        <is>
          <t>休み</t>
        </is>
      </c>
      <c r="E18" s="415" t="n"/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534" t="n">
        <v>44419</v>
      </c>
      <c r="B19" s="535" t="n">
        <v>44419</v>
      </c>
      <c r="C19" s="412" t="inlineStr">
        <is>
          <t>学校閉庁日</t>
        </is>
      </c>
      <c r="D19" s="412" t="inlineStr">
        <is>
          <t>休み</t>
        </is>
      </c>
      <c r="E19" s="412" t="n"/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534" t="n">
        <v>44420</v>
      </c>
      <c r="B20" s="535" t="n">
        <v>44420</v>
      </c>
      <c r="C20" s="412" t="inlineStr">
        <is>
          <t>学校閉庁日</t>
        </is>
      </c>
      <c r="D20" s="412" t="inlineStr">
        <is>
          <t>休み</t>
        </is>
      </c>
      <c r="E20" s="412" t="n"/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534" t="n">
        <v>44421</v>
      </c>
      <c r="B21" s="535" t="n">
        <v>44421</v>
      </c>
      <c r="C21" s="412" t="inlineStr">
        <is>
          <t>学校閉庁日</t>
        </is>
      </c>
      <c r="D21" s="412" t="inlineStr">
        <is>
          <t>休み</t>
        </is>
      </c>
      <c r="E21" s="412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534" t="n">
        <v>44422</v>
      </c>
      <c r="B22" s="535" t="n">
        <v>44422</v>
      </c>
      <c r="C22" s="412" t="n"/>
      <c r="D22" s="412" t="inlineStr">
        <is>
          <t>休み</t>
        </is>
      </c>
      <c r="E22" s="412" t="n"/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532" t="n">
        <v>44423</v>
      </c>
      <c r="B23" s="533" t="n">
        <v>44423</v>
      </c>
      <c r="C23" s="415" t="n"/>
      <c r="D23" s="415" t="inlineStr">
        <is>
          <t>休み</t>
        </is>
      </c>
      <c r="E23" s="415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532" t="n">
        <v>44424</v>
      </c>
      <c r="B24" s="533" t="n">
        <v>44424</v>
      </c>
      <c r="C24" s="415" t="n"/>
      <c r="D24" s="415" t="inlineStr">
        <is>
          <t>休み</t>
        </is>
      </c>
      <c r="E24" s="415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534" t="n">
        <v>44425</v>
      </c>
      <c r="B25" s="535" t="n">
        <v>44425</v>
      </c>
      <c r="C25" s="412" t="inlineStr">
        <is>
          <t>夏季講習・補習</t>
        </is>
      </c>
      <c r="D25" s="412" t="inlineStr">
        <is>
          <t>休み</t>
        </is>
      </c>
      <c r="E25" s="412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534" t="n">
        <v>44426</v>
      </c>
      <c r="B26" s="535" t="n">
        <v>44426</v>
      </c>
      <c r="C26" s="412" t="inlineStr">
        <is>
          <t>夏季講習・補習</t>
        </is>
      </c>
      <c r="D26" s="412" t="inlineStr">
        <is>
          <t>9:00～16:00</t>
        </is>
      </c>
      <c r="E26" s="412" t="n"/>
      <c r="F26" s="310" t="n"/>
      <c r="G26" s="310" t="n"/>
    </row>
    <row r="27" ht="24" customHeight="1">
      <c r="A27" s="534" t="n">
        <v>44427</v>
      </c>
      <c r="B27" s="535" t="n">
        <v>44427</v>
      </c>
      <c r="C27" s="412" t="inlineStr">
        <is>
          <t>夏季講習・補習　転編入学者選抜</t>
        </is>
      </c>
      <c r="D27" s="412" t="inlineStr">
        <is>
          <t>9:00～16:00</t>
        </is>
      </c>
      <c r="E27" s="412" t="n"/>
      <c r="F27" s="310" t="n"/>
      <c r="G27" s="310" t="n"/>
    </row>
    <row r="28" ht="24" customHeight="1">
      <c r="A28" s="534" t="n">
        <v>44428</v>
      </c>
      <c r="B28" s="535" t="n">
        <v>44428</v>
      </c>
      <c r="C28" s="412" t="inlineStr">
        <is>
          <t>夏季講習・補習</t>
        </is>
      </c>
      <c r="D28" s="412" t="inlineStr">
        <is>
          <t>9:00～16:00</t>
        </is>
      </c>
      <c r="E28" s="412" t="n"/>
      <c r="F28" s="310" t="n"/>
      <c r="G28" s="310" t="n"/>
    </row>
    <row r="29" ht="24" customHeight="1">
      <c r="A29" s="534" t="n">
        <v>44429</v>
      </c>
      <c r="B29" s="535" t="n">
        <v>44429</v>
      </c>
      <c r="C29" s="412" t="inlineStr">
        <is>
          <t>夏季講習・補習</t>
        </is>
      </c>
      <c r="D29" s="412" t="inlineStr">
        <is>
          <t>9:00～16:00</t>
        </is>
      </c>
      <c r="E29" s="412" t="n"/>
      <c r="F29" s="310" t="n"/>
      <c r="G29" s="310" t="n"/>
    </row>
    <row r="30" ht="24" customHeight="1">
      <c r="A30" s="532" t="n">
        <v>44430</v>
      </c>
      <c r="B30" s="533" t="n">
        <v>44430</v>
      </c>
      <c r="C30" s="415" t="n"/>
      <c r="D30" s="365" t="inlineStr">
        <is>
          <t>13:00～19:00</t>
        </is>
      </c>
      <c r="E30" s="415" t="inlineStr">
        <is>
          <t>麻生老人福祉センター夏祭り</t>
        </is>
      </c>
      <c r="F30" s="310" t="n"/>
      <c r="G30" s="310" t="n"/>
    </row>
    <row r="31" ht="24" customHeight="1">
      <c r="A31" s="532" t="n">
        <v>44431</v>
      </c>
      <c r="B31" s="533" t="n">
        <v>44431</v>
      </c>
      <c r="C31" s="415" t="n"/>
      <c r="D31" s="415" t="inlineStr">
        <is>
          <t>休み</t>
        </is>
      </c>
      <c r="E31" s="415" t="n"/>
      <c r="F31" s="310" t="n"/>
      <c r="G31" s="310" t="n"/>
    </row>
    <row r="32" ht="24" customHeight="1">
      <c r="A32" s="534" t="n">
        <v>44432</v>
      </c>
      <c r="B32" s="535" t="n">
        <v>44432</v>
      </c>
      <c r="C32" s="412" t="inlineStr">
        <is>
          <t>シューター訓練（防災設備点検）</t>
        </is>
      </c>
      <c r="D32" s="412" t="inlineStr">
        <is>
          <t>休み</t>
        </is>
      </c>
      <c r="E32" s="412" t="n"/>
      <c r="F32" s="310" t="n"/>
      <c r="G32" s="310" t="n"/>
    </row>
    <row r="33" ht="24" customHeight="1">
      <c r="A33" s="534" t="n">
        <v>44433</v>
      </c>
      <c r="B33" s="535" t="n">
        <v>44433</v>
      </c>
      <c r="C33" s="418" t="inlineStr">
        <is>
          <t>夏季休業終了</t>
        </is>
      </c>
      <c r="D33" s="412" t="inlineStr">
        <is>
          <t>9:00～12:00</t>
        </is>
      </c>
      <c r="E33" s="418" t="n"/>
      <c r="F33" s="310" t="n"/>
      <c r="G33" s="310" t="n"/>
    </row>
    <row r="34" ht="24" customHeight="1">
      <c r="A34" s="534" t="n">
        <v>44434</v>
      </c>
      <c r="B34" s="535" t="n">
        <v>44434</v>
      </c>
      <c r="C34" s="367" t="inlineStr">
        <is>
          <t>２学期始業式＋45×6　指定校公開2回目　　職員会議</t>
        </is>
      </c>
      <c r="D34" s="418" t="inlineStr">
        <is>
          <t>～17:00</t>
        </is>
      </c>
      <c r="E34" s="418" t="n"/>
      <c r="F34" s="310" t="n"/>
      <c r="G34" s="310" t="n"/>
    </row>
    <row r="35" ht="24" customHeight="1">
      <c r="A35" s="534" t="n">
        <v>44435</v>
      </c>
      <c r="B35" s="535" t="n">
        <v>44435</v>
      </c>
      <c r="C35" s="418" t="inlineStr">
        <is>
          <t>第１回推薦願締切　SC来校</t>
        </is>
      </c>
      <c r="D35" s="419" t="inlineStr">
        <is>
          <t>～18:00</t>
        </is>
      </c>
      <c r="E35" s="418" t="n"/>
      <c r="F35" s="310" t="n"/>
      <c r="G35" s="310" t="n"/>
    </row>
    <row r="36" ht="24" customHeight="1">
      <c r="A36" s="534" t="n">
        <v>44436</v>
      </c>
      <c r="B36" s="535" t="n">
        <v>44436</v>
      </c>
      <c r="C36" s="412" t="inlineStr">
        <is>
          <t>外部試験　（1,2年全日）　SSW来校</t>
        </is>
      </c>
      <c r="D36" s="419" t="inlineStr">
        <is>
          <t>～18:00</t>
        </is>
      </c>
      <c r="E36" s="412" t="n"/>
      <c r="F36" s="310" t="n"/>
      <c r="G36" s="310" t="n"/>
    </row>
    <row r="37" ht="24" customHeight="1">
      <c r="A37" s="532" t="n">
        <v>44437</v>
      </c>
      <c r="B37" s="533" t="n">
        <v>44437</v>
      </c>
      <c r="C37" s="415" t="inlineStr">
        <is>
          <t>PTA役員会</t>
        </is>
      </c>
      <c r="D37" s="415" t="inlineStr">
        <is>
          <t>9:00～16:00</t>
        </is>
      </c>
      <c r="E37" s="415" t="n"/>
      <c r="F37" s="310" t="n"/>
      <c r="G37" s="310" t="n"/>
    </row>
    <row r="38" ht="24" customHeight="1" thickBot="1">
      <c r="A38" s="532" t="n">
        <v>44438</v>
      </c>
      <c r="B38" s="533" t="n">
        <v>44438</v>
      </c>
      <c r="C38" s="415" t="n"/>
      <c r="D38" s="415" t="inlineStr">
        <is>
          <t>休み</t>
        </is>
      </c>
      <c r="E38" s="415" t="n"/>
      <c r="F38" s="310" t="n"/>
      <c r="G38" s="310" t="n"/>
    </row>
    <row r="39" ht="126.75" customHeight="1" thickBot="1">
      <c r="A39" s="524" t="inlineStr">
        <is>
          <t>・9/6が文化祭なので、意外に時間がないです。</t>
        </is>
      </c>
      <c r="B39" s="525" t="n"/>
      <c r="C39" s="525" t="n"/>
      <c r="D39" s="525" t="n"/>
      <c r="E39" s="526" t="n"/>
      <c r="F39" s="406" t="n"/>
      <c r="G39" s="345" t="n"/>
    </row>
  </sheetData>
  <mergeCells count="7">
    <mergeCell ref="A39:E39"/>
    <mergeCell ref="A4:C4"/>
    <mergeCell ref="A1:C1"/>
    <mergeCell ref="A5:C5"/>
    <mergeCell ref="A3:C3"/>
    <mergeCell ref="A6:E6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4" horizontalDpi="4294967294"/>
</worksheet>
</file>

<file path=xl/worksheets/sheet10.xml><?xml version="1.0" encoding="utf-8"?>
<worksheet xmlns="http://schemas.openxmlformats.org/spreadsheetml/2006/main">
  <sheetPr codeName="Sheet9">
    <outlinePr summaryBelow="1" summaryRight="1"/>
    <pageSetUpPr fitToPage="1"/>
  </sheetPr>
  <dimension ref="A1:R39"/>
  <sheetViews>
    <sheetView view="pageBreakPreview" topLeftCell="A7" zoomScale="85" zoomScaleNormal="100" zoomScaleSheetLayoutView="85" workbookViewId="0">
      <selection activeCell="A39" sqref="A39:E39"/>
    </sheetView>
  </sheetViews>
  <sheetFormatPr baseColWidth="8" defaultColWidth="9" defaultRowHeight="13.2"/>
  <cols>
    <col width="5.5546875" bestFit="1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407" t="inlineStr">
        <is>
          <t>2025年度　8月　吹奏楽部活動予定（県大会有りバージョン）</t>
        </is>
      </c>
      <c r="B7" s="408" t="n"/>
      <c r="C7" s="408" t="n"/>
      <c r="D7" s="408" t="n"/>
      <c r="E7" s="409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530" t="n">
        <v>44408</v>
      </c>
      <c r="B8" s="531" t="n">
        <v>44408</v>
      </c>
      <c r="C8" s="412" t="inlineStr">
        <is>
          <t>公私合同説明会</t>
        </is>
      </c>
      <c r="D8" s="412" t="inlineStr">
        <is>
          <t>休み</t>
        </is>
      </c>
      <c r="E8" s="412" t="n"/>
      <c r="F8" s="310" t="inlineStr">
        <is>
          <t>１行  15.75</t>
        </is>
      </c>
      <c r="G8" s="310" t="n"/>
    </row>
    <row r="9" ht="24" customHeight="1">
      <c r="A9" s="532" t="n">
        <v>44409</v>
      </c>
      <c r="B9" s="533" t="n">
        <v>44409</v>
      </c>
      <c r="C9" s="415" t="n"/>
      <c r="D9" s="415" t="inlineStr">
        <is>
          <t>9:00～16:00</t>
        </is>
      </c>
      <c r="E9" s="415" t="inlineStr">
        <is>
          <t>県大会の練習＆文化祭の練習</t>
        </is>
      </c>
      <c r="F9" s="310" t="inlineStr">
        <is>
          <t>MSPゴシック１２　日・曜日・行事</t>
        </is>
      </c>
      <c r="G9" s="310" t="n"/>
    </row>
    <row r="10" ht="24" customHeight="1">
      <c r="A10" s="532" t="n">
        <v>44410</v>
      </c>
      <c r="B10" s="533" t="n">
        <v>44410</v>
      </c>
      <c r="C10" s="415" t="n"/>
      <c r="D10" s="415" t="inlineStr">
        <is>
          <t>休み</t>
        </is>
      </c>
      <c r="E10" s="415" t="n"/>
      <c r="F10" s="310" t="n"/>
      <c r="G10" s="310" t="n"/>
    </row>
    <row r="11" ht="24" customHeight="1">
      <c r="A11" s="534" t="n">
        <v>44411</v>
      </c>
      <c r="B11" s="535" t="n">
        <v>44411</v>
      </c>
      <c r="C11" s="412" t="n"/>
      <c r="D11" s="412" t="inlineStr">
        <is>
          <t>休み</t>
        </is>
      </c>
      <c r="E11" s="412" t="n"/>
      <c r="F11" s="310" t="n"/>
      <c r="G11" s="310" t="n"/>
    </row>
    <row r="12" ht="24" customHeight="1">
      <c r="A12" s="534" t="n">
        <v>44412</v>
      </c>
      <c r="B12" s="535" t="n">
        <v>44412</v>
      </c>
      <c r="C12" s="412" t="n"/>
      <c r="D12" s="412" t="inlineStr">
        <is>
          <t>休み</t>
        </is>
      </c>
      <c r="E12" s="412" t="inlineStr">
        <is>
          <t>中田不在</t>
        </is>
      </c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534" t="n">
        <v>44413</v>
      </c>
      <c r="B13" s="535" t="n">
        <v>44413</v>
      </c>
      <c r="C13" s="412" t="n"/>
      <c r="D13" s="412" t="inlineStr">
        <is>
          <t>9:00～16:00</t>
        </is>
      </c>
      <c r="E13" s="412" t="n"/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534" t="n">
        <v>44414</v>
      </c>
      <c r="B14" s="535" t="n">
        <v>44414</v>
      </c>
      <c r="C14" s="412" t="n"/>
      <c r="D14" s="412" t="inlineStr">
        <is>
          <t>9:00～16:00</t>
        </is>
      </c>
      <c r="E14" s="412" t="n"/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534" t="n">
        <v>44415</v>
      </c>
      <c r="B15" s="535" t="n">
        <v>44415</v>
      </c>
      <c r="C15" s="412" t="n"/>
      <c r="D15" s="412" t="inlineStr">
        <is>
          <t>9:00～16:00</t>
        </is>
      </c>
      <c r="E15" s="412" t="n"/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532" t="n">
        <v>44416</v>
      </c>
      <c r="B16" s="533" t="n">
        <v>44416</v>
      </c>
      <c r="C16" s="415" t="n"/>
      <c r="D16" s="415" t="inlineStr">
        <is>
          <t>9:00～12:00</t>
        </is>
      </c>
      <c r="E16" s="415" t="inlineStr">
        <is>
          <t>中田不在</t>
        </is>
      </c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532" t="n">
        <v>44417</v>
      </c>
      <c r="B17" s="533" t="n">
        <v>44417</v>
      </c>
      <c r="C17" s="415" t="n"/>
      <c r="D17" s="415" t="inlineStr">
        <is>
          <t>休み</t>
        </is>
      </c>
      <c r="E17" s="415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532" t="n">
        <v>44418</v>
      </c>
      <c r="B18" s="533" t="n">
        <v>44418</v>
      </c>
      <c r="C18" s="415" t="inlineStr">
        <is>
          <t>山の日</t>
        </is>
      </c>
      <c r="D18" s="415" t="inlineStr">
        <is>
          <t>9:00～12:00</t>
        </is>
      </c>
      <c r="E18" s="415" t="n"/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534" t="n">
        <v>44419</v>
      </c>
      <c r="B19" s="535" t="n">
        <v>44419</v>
      </c>
      <c r="C19" s="412" t="inlineStr">
        <is>
          <t>学校閉庁日</t>
        </is>
      </c>
      <c r="D19" s="412" t="inlineStr">
        <is>
          <t>9:00～16:00</t>
        </is>
      </c>
      <c r="E19" s="412" t="inlineStr">
        <is>
          <t>校舎が閉まっているので武道場か体育館で練習</t>
        </is>
      </c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534" t="n">
        <v>44420</v>
      </c>
      <c r="B20" s="535" t="n">
        <v>44420</v>
      </c>
      <c r="C20" s="412" t="inlineStr">
        <is>
          <t>学校閉庁日</t>
        </is>
      </c>
      <c r="D20" s="412" t="inlineStr">
        <is>
          <t>県大会</t>
        </is>
      </c>
      <c r="E20" s="412" t="n"/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534" t="n">
        <v>44421</v>
      </c>
      <c r="B21" s="535" t="n">
        <v>44421</v>
      </c>
      <c r="C21" s="412" t="inlineStr">
        <is>
          <t>学校閉庁日</t>
        </is>
      </c>
      <c r="D21" s="412" t="inlineStr">
        <is>
          <t>休み</t>
        </is>
      </c>
      <c r="E21" s="412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534" t="n">
        <v>44422</v>
      </c>
      <c r="B22" s="535" t="n">
        <v>44422</v>
      </c>
      <c r="C22" s="412" t="n"/>
      <c r="D22" s="412" t="inlineStr">
        <is>
          <t>休み</t>
        </is>
      </c>
      <c r="E22" s="412" t="n"/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532" t="n">
        <v>44423</v>
      </c>
      <c r="B23" s="533" t="n">
        <v>44423</v>
      </c>
      <c r="C23" s="415" t="n"/>
      <c r="D23" s="415" t="inlineStr">
        <is>
          <t>休み</t>
        </is>
      </c>
      <c r="E23" s="415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532" t="n">
        <v>44424</v>
      </c>
      <c r="B24" s="533" t="n">
        <v>44424</v>
      </c>
      <c r="C24" s="415" t="n"/>
      <c r="D24" s="415" t="inlineStr">
        <is>
          <t>休み</t>
        </is>
      </c>
      <c r="E24" s="415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534" t="n">
        <v>44425</v>
      </c>
      <c r="B25" s="535" t="n">
        <v>44425</v>
      </c>
      <c r="C25" s="412" t="inlineStr">
        <is>
          <t>夏季講習・補習</t>
        </is>
      </c>
      <c r="D25" s="412" t="inlineStr">
        <is>
          <t>休み</t>
        </is>
      </c>
      <c r="E25" s="412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534" t="n">
        <v>44426</v>
      </c>
      <c r="B26" s="535" t="n">
        <v>44426</v>
      </c>
      <c r="C26" s="412" t="inlineStr">
        <is>
          <t>夏季講習・補習</t>
        </is>
      </c>
      <c r="D26" s="412" t="inlineStr">
        <is>
          <t>休み</t>
        </is>
      </c>
      <c r="E26" s="412" t="n"/>
      <c r="F26" s="310" t="n"/>
      <c r="G26" s="310" t="n"/>
    </row>
    <row r="27" ht="24" customHeight="1">
      <c r="A27" s="534" t="n">
        <v>44427</v>
      </c>
      <c r="B27" s="535" t="n">
        <v>44427</v>
      </c>
      <c r="C27" s="412" t="inlineStr">
        <is>
          <t>夏季講習・補習　転編入学者選抜</t>
        </is>
      </c>
      <c r="D27" s="412" t="inlineStr">
        <is>
          <t>9:00～16:00</t>
        </is>
      </c>
      <c r="E27" s="412" t="n"/>
      <c r="F27" s="310" t="n"/>
      <c r="G27" s="310" t="n"/>
    </row>
    <row r="28" ht="24" customHeight="1">
      <c r="A28" s="534" t="n">
        <v>44428</v>
      </c>
      <c r="B28" s="535" t="n">
        <v>44428</v>
      </c>
      <c r="C28" s="412" t="inlineStr">
        <is>
          <t>夏季講習・補習</t>
        </is>
      </c>
      <c r="D28" s="412" t="inlineStr">
        <is>
          <t>9:00～16:00</t>
        </is>
      </c>
      <c r="E28" s="412" t="n"/>
      <c r="F28" s="310" t="n"/>
      <c r="G28" s="310" t="n"/>
    </row>
    <row r="29" ht="24" customHeight="1">
      <c r="A29" s="534" t="n">
        <v>44429</v>
      </c>
      <c r="B29" s="535" t="n">
        <v>44429</v>
      </c>
      <c r="C29" s="412" t="inlineStr">
        <is>
          <t>夏季講習・補習</t>
        </is>
      </c>
      <c r="D29" s="412" t="inlineStr">
        <is>
          <t>9:00～16:00</t>
        </is>
      </c>
      <c r="E29" s="412" t="n"/>
      <c r="F29" s="310" t="n"/>
      <c r="G29" s="310" t="n"/>
    </row>
    <row r="30" ht="24" customHeight="1">
      <c r="A30" s="532" t="n">
        <v>44430</v>
      </c>
      <c r="B30" s="533" t="n">
        <v>44430</v>
      </c>
      <c r="C30" s="415" t="n"/>
      <c r="D30" s="365" t="inlineStr">
        <is>
          <t>13:00～19:00</t>
        </is>
      </c>
      <c r="E30" s="415" t="inlineStr">
        <is>
          <t>麻生老人福祉センター夏祭り</t>
        </is>
      </c>
      <c r="F30" s="310" t="n"/>
      <c r="G30" s="310" t="n"/>
    </row>
    <row r="31" ht="24" customHeight="1">
      <c r="A31" s="532" t="n">
        <v>44431</v>
      </c>
      <c r="B31" s="533" t="n">
        <v>44431</v>
      </c>
      <c r="C31" s="415" t="n"/>
      <c r="D31" s="415" t="inlineStr">
        <is>
          <t>休み</t>
        </is>
      </c>
      <c r="E31" s="415" t="n"/>
      <c r="F31" s="310" t="n"/>
      <c r="G31" s="310" t="n"/>
    </row>
    <row r="32" ht="24" customHeight="1">
      <c r="A32" s="534" t="n">
        <v>44432</v>
      </c>
      <c r="B32" s="535" t="n">
        <v>44432</v>
      </c>
      <c r="C32" s="412" t="inlineStr">
        <is>
          <t>シューター訓練（防災設備点検）</t>
        </is>
      </c>
      <c r="D32" s="412" t="inlineStr">
        <is>
          <t>休み</t>
        </is>
      </c>
      <c r="E32" s="412" t="n"/>
      <c r="F32" s="310" t="n"/>
      <c r="G32" s="310" t="n"/>
    </row>
    <row r="33" ht="24" customHeight="1">
      <c r="A33" s="534" t="n">
        <v>44433</v>
      </c>
      <c r="B33" s="535" t="n">
        <v>44433</v>
      </c>
      <c r="C33" s="418" t="inlineStr">
        <is>
          <t>夏季休業終了</t>
        </is>
      </c>
      <c r="D33" s="412" t="inlineStr">
        <is>
          <t>9:00～12:00</t>
        </is>
      </c>
      <c r="E33" s="418" t="n"/>
      <c r="F33" s="310" t="n"/>
      <c r="G33" s="310" t="n"/>
    </row>
    <row r="34" ht="24" customHeight="1">
      <c r="A34" s="534" t="n">
        <v>44434</v>
      </c>
      <c r="B34" s="535" t="n">
        <v>44434</v>
      </c>
      <c r="C34" s="367" t="inlineStr">
        <is>
          <t>２学期始業式＋45×6　指定校公開2回目　　職員会議</t>
        </is>
      </c>
      <c r="D34" s="418" t="inlineStr">
        <is>
          <t>～17:00</t>
        </is>
      </c>
      <c r="E34" s="418" t="n"/>
      <c r="F34" s="310" t="n"/>
      <c r="G34" s="310" t="n"/>
    </row>
    <row r="35" ht="24" customHeight="1">
      <c r="A35" s="534" t="n">
        <v>44435</v>
      </c>
      <c r="B35" s="535" t="n">
        <v>44435</v>
      </c>
      <c r="C35" s="418" t="inlineStr">
        <is>
          <t>第１回推薦願締切　SC来校</t>
        </is>
      </c>
      <c r="D35" s="419" t="inlineStr">
        <is>
          <t>～18:00</t>
        </is>
      </c>
      <c r="E35" s="418" t="n"/>
      <c r="F35" s="310" t="n"/>
      <c r="G35" s="310" t="n"/>
    </row>
    <row r="36" ht="24" customHeight="1">
      <c r="A36" s="534" t="n">
        <v>44436</v>
      </c>
      <c r="B36" s="535" t="n">
        <v>44436</v>
      </c>
      <c r="C36" s="412" t="inlineStr">
        <is>
          <t>外部試験　（1,2年全日）　SSW来校</t>
        </is>
      </c>
      <c r="D36" s="419" t="inlineStr">
        <is>
          <t>～18:00</t>
        </is>
      </c>
      <c r="E36" s="412" t="n"/>
      <c r="F36" s="310" t="n"/>
      <c r="G36" s="310" t="n"/>
    </row>
    <row r="37" ht="24" customHeight="1">
      <c r="A37" s="532" t="n">
        <v>44437</v>
      </c>
      <c r="B37" s="533" t="n">
        <v>44437</v>
      </c>
      <c r="C37" s="415" t="inlineStr">
        <is>
          <t>PTA役員会</t>
        </is>
      </c>
      <c r="D37" s="415" t="inlineStr">
        <is>
          <t>9:00～16:00</t>
        </is>
      </c>
      <c r="E37" s="415" t="n"/>
      <c r="F37" s="310" t="n"/>
      <c r="G37" s="310" t="n"/>
    </row>
    <row r="38" ht="24" customHeight="1" thickBot="1">
      <c r="A38" s="532" t="n">
        <v>44438</v>
      </c>
      <c r="B38" s="533" t="n">
        <v>44438</v>
      </c>
      <c r="C38" s="415" t="n"/>
      <c r="D38" s="415" t="inlineStr">
        <is>
          <t>休み</t>
        </is>
      </c>
      <c r="E38" s="415" t="n"/>
      <c r="F38" s="310" t="n"/>
      <c r="G38" s="310" t="n"/>
    </row>
    <row r="39" ht="126.75" customHeight="1" thickBot="1">
      <c r="A39" s="524" t="inlineStr">
        <is>
          <t>・9/6が文化祭なので、意外に時間がないです。</t>
        </is>
      </c>
      <c r="B39" s="525" t="n"/>
      <c r="C39" s="525" t="n"/>
      <c r="D39" s="525" t="n"/>
      <c r="E39" s="526" t="n"/>
      <c r="F39" s="406" t="n"/>
      <c r="G39" s="345" t="n"/>
    </row>
  </sheetData>
  <mergeCells count="7">
    <mergeCell ref="A39:E39"/>
    <mergeCell ref="A4:C4"/>
    <mergeCell ref="A1:C1"/>
    <mergeCell ref="A5:C5"/>
    <mergeCell ref="A3:C3"/>
    <mergeCell ref="A6:E6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4" horizontalDpi="4294967294"/>
</worksheet>
</file>

<file path=xl/worksheets/sheet11.xml><?xml version="1.0" encoding="utf-8"?>
<worksheet xmlns="http://schemas.openxmlformats.org/spreadsheetml/2006/main">
  <sheetPr codeName="Sheet10">
    <outlinePr summaryBelow="1" summaryRight="1"/>
    <pageSetUpPr fitToPage="1"/>
  </sheetPr>
  <dimension ref="A1:R38"/>
  <sheetViews>
    <sheetView view="pageBreakPreview" topLeftCell="A24" zoomScale="85" zoomScaleNormal="100" zoomScaleSheetLayoutView="85" workbookViewId="0">
      <selection activeCell="E31" sqref="E31"/>
    </sheetView>
  </sheetViews>
  <sheetFormatPr baseColWidth="8" defaultColWidth="9" defaultRowHeight="13.2"/>
  <cols>
    <col width="5.5546875" bestFit="1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536" t="inlineStr">
        <is>
          <t>2025年度　6月　吹奏楽部活動予定</t>
        </is>
      </c>
      <c r="B7" s="525" t="n"/>
      <c r="C7" s="525" t="n"/>
      <c r="D7" s="525" t="n"/>
      <c r="E7" s="526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391" t="n">
        <v>1</v>
      </c>
      <c r="B8" s="392" t="inlineStr">
        <is>
          <t>日</t>
        </is>
      </c>
      <c r="C8" s="395" t="n"/>
      <c r="D8" s="399" t="inlineStr">
        <is>
          <t>休み</t>
        </is>
      </c>
      <c r="E8" s="371" t="n"/>
      <c r="F8" s="310" t="inlineStr">
        <is>
          <t>１行  15.75</t>
        </is>
      </c>
      <c r="G8" s="310" t="n"/>
    </row>
    <row r="9" ht="24" customHeight="1">
      <c r="A9" s="389" t="n">
        <v>2</v>
      </c>
      <c r="B9" s="390" t="inlineStr">
        <is>
          <t>月</t>
        </is>
      </c>
      <c r="C9" s="394" t="inlineStr">
        <is>
          <t>④科目選択説明会（1年　体育館）</t>
        </is>
      </c>
      <c r="D9" s="398" t="inlineStr">
        <is>
          <t>休み</t>
        </is>
      </c>
      <c r="E9" s="370" t="n"/>
      <c r="F9" s="310" t="inlineStr">
        <is>
          <t>MSPゴシック１２　日・曜日・行事</t>
        </is>
      </c>
      <c r="G9" s="310" t="n"/>
    </row>
    <row r="10" ht="24" customHeight="1">
      <c r="A10" s="389" t="n">
        <v>3</v>
      </c>
      <c r="B10" s="390" t="inlineStr">
        <is>
          <t>火</t>
        </is>
      </c>
      <c r="C10" s="394" t="inlineStr">
        <is>
          <t xml:space="preserve">体育祭予備日①　</t>
        </is>
      </c>
      <c r="D10" s="398" t="inlineStr">
        <is>
          <t>～18:00</t>
        </is>
      </c>
      <c r="E10" s="370" t="n"/>
      <c r="F10" s="310" t="n"/>
      <c r="G10" s="310" t="n"/>
    </row>
    <row r="11" ht="24" customHeight="1">
      <c r="A11" s="389" t="n">
        <v>4</v>
      </c>
      <c r="B11" s="390" t="inlineStr">
        <is>
          <t>水</t>
        </is>
      </c>
      <c r="C11" s="394" t="inlineStr">
        <is>
          <t>体育祭予備日②</t>
        </is>
      </c>
      <c r="D11" s="398" t="inlineStr">
        <is>
          <t>～18:00</t>
        </is>
      </c>
      <c r="E11" s="370" t="n"/>
      <c r="F11" s="310" t="n"/>
      <c r="G11" s="310" t="n"/>
    </row>
    <row r="12" ht="24" customHeight="1">
      <c r="A12" s="389" t="n">
        <v>5</v>
      </c>
      <c r="B12" s="390" t="inlineStr">
        <is>
          <t>木</t>
        </is>
      </c>
      <c r="C12" s="394" t="inlineStr">
        <is>
          <t>歯科検診 文化祭会計説明会（パフォーマンス）　SC来校</t>
        </is>
      </c>
      <c r="D12" s="398" t="inlineStr">
        <is>
          <t>～18:00</t>
        </is>
      </c>
      <c r="E12" s="370" t="n"/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389" t="n">
        <v>6</v>
      </c>
      <c r="B13" s="390" t="inlineStr">
        <is>
          <t>金</t>
        </is>
      </c>
      <c r="C13" s="394" t="inlineStr">
        <is>
          <t>教育実習終了　職員会議　文化祭会計説明会（食品・物販）　文化祭1次企画書提出締切　SSW来校</t>
        </is>
      </c>
      <c r="D13" s="398" t="inlineStr">
        <is>
          <t>～18:00</t>
        </is>
      </c>
      <c r="E13" s="370" t="n"/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391" t="n">
        <v>7</v>
      </c>
      <c r="B14" s="392" t="inlineStr">
        <is>
          <t>土</t>
        </is>
      </c>
      <c r="C14" s="395" t="inlineStr">
        <is>
          <t>全公立展</t>
        </is>
      </c>
      <c r="D14" s="399" t="inlineStr">
        <is>
          <t>9:00～16:00</t>
        </is>
      </c>
      <c r="E14" s="371" t="n"/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391" t="n">
        <v>8</v>
      </c>
      <c r="B15" s="392" t="inlineStr">
        <is>
          <t>日</t>
        </is>
      </c>
      <c r="C15" s="395" t="n"/>
      <c r="D15" s="399" t="inlineStr">
        <is>
          <t>休み</t>
        </is>
      </c>
      <c r="E15" s="371" t="n"/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389" t="n">
        <v>9</v>
      </c>
      <c r="B16" s="390" t="inlineStr">
        <is>
          <t>月</t>
        </is>
      </c>
      <c r="C16" s="394" t="inlineStr">
        <is>
          <t>40×4　月①～④　面談週間（～6/13）</t>
        </is>
      </c>
      <c r="D16" s="398" t="inlineStr">
        <is>
          <t>休み</t>
        </is>
      </c>
      <c r="E16" s="370" t="n"/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389" t="n">
        <v>10</v>
      </c>
      <c r="B17" s="390" t="inlineStr">
        <is>
          <t>火</t>
        </is>
      </c>
      <c r="C17" s="394" t="inlineStr">
        <is>
          <t>40×4　火③～⑥　文化祭代表者説明会　SSW来校</t>
        </is>
      </c>
      <c r="D17" s="398" t="inlineStr">
        <is>
          <t>～17:00</t>
        </is>
      </c>
      <c r="E17" s="370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389" t="n">
        <v>11</v>
      </c>
      <c r="B18" s="390" t="inlineStr">
        <is>
          <t>水</t>
        </is>
      </c>
      <c r="C18" s="394" t="inlineStr">
        <is>
          <t>40×4　水①～④　尿検査</t>
        </is>
      </c>
      <c r="D18" s="398" t="inlineStr">
        <is>
          <t>～17:00</t>
        </is>
      </c>
      <c r="E18" s="370" t="n"/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389" t="n">
        <v>12</v>
      </c>
      <c r="B19" s="390" t="inlineStr">
        <is>
          <t>木</t>
        </is>
      </c>
      <c r="C19" s="394" t="inlineStr">
        <is>
          <t>40×4　木③～⑥　内科検診　クラスTシャツデザイン届締切　SC来校</t>
        </is>
      </c>
      <c r="D19" s="398" t="inlineStr">
        <is>
          <t>～17:00</t>
        </is>
      </c>
      <c r="E19" s="370" t="n"/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389" t="n">
        <v>13</v>
      </c>
      <c r="B20" s="390" t="inlineStr">
        <is>
          <t>金</t>
        </is>
      </c>
      <c r="C20" s="394" t="inlineStr">
        <is>
          <t>40×4　金①～④　SSW来校</t>
        </is>
      </c>
      <c r="D20" s="398" t="inlineStr">
        <is>
          <t>～17:00</t>
        </is>
      </c>
      <c r="E20" s="370" t="n"/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391" t="n">
        <v>14</v>
      </c>
      <c r="B21" s="392" t="inlineStr">
        <is>
          <t>土</t>
        </is>
      </c>
      <c r="C21" s="395" t="n"/>
      <c r="D21" s="399" t="inlineStr">
        <is>
          <t>9:00～16:00</t>
        </is>
      </c>
      <c r="E21" s="371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391" t="n">
        <v>15</v>
      </c>
      <c r="B22" s="392" t="inlineStr">
        <is>
          <t>日</t>
        </is>
      </c>
      <c r="C22" s="395" t="n"/>
      <c r="D22" s="399" t="inlineStr">
        <is>
          <t>休み</t>
        </is>
      </c>
      <c r="E22" s="371" t="n"/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389" t="n">
        <v>16</v>
      </c>
      <c r="B23" s="390" t="inlineStr">
        <is>
          <t>月</t>
        </is>
      </c>
      <c r="C23" s="394" t="n"/>
      <c r="D23" s="398" t="inlineStr">
        <is>
          <t>休み</t>
        </is>
      </c>
      <c r="E23" s="370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389" t="n">
        <v>17</v>
      </c>
      <c r="B24" s="390" t="inlineStr">
        <is>
          <t>火</t>
        </is>
      </c>
      <c r="C24" s="394" t="n"/>
      <c r="D24" s="398" t="inlineStr">
        <is>
          <t>～18:00</t>
        </is>
      </c>
      <c r="E24" s="370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389" t="n">
        <v>18</v>
      </c>
      <c r="B25" s="390" t="inlineStr">
        <is>
          <t>水</t>
        </is>
      </c>
      <c r="C25" s="394" t="n"/>
      <c r="D25" s="398" t="inlineStr">
        <is>
          <t>休み</t>
        </is>
      </c>
      <c r="E25" s="370" t="inlineStr">
        <is>
          <t>麻生音楽祭出演のため、前倒しでテスト期間にしています</t>
        </is>
      </c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389" t="n">
        <v>19</v>
      </c>
      <c r="B26" s="390" t="inlineStr">
        <is>
          <t>木</t>
        </is>
      </c>
      <c r="C26" s="394" t="inlineStr">
        <is>
          <t>歯科検診　文化祭2次企画書・援助金申請書提出締切　SC来校</t>
        </is>
      </c>
      <c r="D26" s="398" t="inlineStr">
        <is>
          <t>休み</t>
        </is>
      </c>
      <c r="E26" s="370" t="n"/>
      <c r="F26" s="310" t="n"/>
      <c r="G26" s="310" t="n"/>
    </row>
    <row r="27" ht="24" customHeight="1">
      <c r="A27" s="389" t="n">
        <v>20</v>
      </c>
      <c r="B27" s="390" t="inlineStr">
        <is>
          <t>金</t>
        </is>
      </c>
      <c r="C27" s="394" t="inlineStr">
        <is>
          <t>SSW来校</t>
        </is>
      </c>
      <c r="D27" s="398" t="inlineStr">
        <is>
          <t>～20:30頃</t>
        </is>
      </c>
      <c r="E27" s="370" t="inlineStr">
        <is>
          <t>前日に楽器搬入＆ホール練習ができる予定</t>
        </is>
      </c>
      <c r="F27" s="310" t="n"/>
      <c r="G27" s="310" t="n"/>
    </row>
    <row r="28" ht="24" customHeight="1">
      <c r="A28" s="391" t="n">
        <v>21</v>
      </c>
      <c r="B28" s="392" t="inlineStr">
        <is>
          <t>土</t>
        </is>
      </c>
      <c r="C28" s="395" t="n"/>
      <c r="D28" s="399" t="inlineStr">
        <is>
          <t>本番</t>
        </is>
      </c>
      <c r="E28" s="371" t="inlineStr">
        <is>
          <t>麻生音楽祭</t>
        </is>
      </c>
      <c r="F28" s="310" t="n"/>
      <c r="G28" s="310" t="n"/>
    </row>
    <row r="29" ht="24" customHeight="1">
      <c r="A29" s="391" t="n">
        <v>22</v>
      </c>
      <c r="B29" s="392" t="inlineStr">
        <is>
          <t>日</t>
        </is>
      </c>
      <c r="C29" s="395" t="n"/>
      <c r="D29" s="399" t="inlineStr">
        <is>
          <t>休み</t>
        </is>
      </c>
      <c r="E29" s="371" t="n"/>
      <c r="F29" s="310" t="n"/>
      <c r="G29" s="310" t="n"/>
    </row>
    <row r="30" ht="24" customHeight="1">
      <c r="A30" s="389" t="n">
        <v>23</v>
      </c>
      <c r="B30" s="390" t="inlineStr">
        <is>
          <t>月</t>
        </is>
      </c>
      <c r="C30" s="394" t="inlineStr">
        <is>
          <t>オープンキャンパス事前指導(2年　体育館)</t>
        </is>
      </c>
      <c r="D30" s="398" t="inlineStr">
        <is>
          <t>休み</t>
        </is>
      </c>
      <c r="E30" s="370" t="n"/>
      <c r="F30" s="310" t="n"/>
      <c r="G30" s="310" t="n"/>
    </row>
    <row r="31" ht="24" customHeight="1">
      <c r="A31" s="389" t="n">
        <v>24</v>
      </c>
      <c r="B31" s="390" t="inlineStr">
        <is>
          <t>火</t>
        </is>
      </c>
      <c r="C31" s="394" t="n"/>
      <c r="D31" s="398" t="inlineStr">
        <is>
          <t>休み</t>
        </is>
      </c>
      <c r="E31" s="370" t="n"/>
      <c r="F31" s="310" t="n"/>
      <c r="G31" s="310" t="n"/>
    </row>
    <row r="32" ht="24" customHeight="1">
      <c r="A32" s="389" t="n">
        <v>25</v>
      </c>
      <c r="B32" s="390" t="inlineStr">
        <is>
          <t>水</t>
        </is>
      </c>
      <c r="C32" s="394" t="n"/>
      <c r="D32" s="398" t="inlineStr">
        <is>
          <t>休み</t>
        </is>
      </c>
      <c r="E32" s="370" t="n"/>
      <c r="F32" s="310" t="n"/>
      <c r="G32" s="310" t="n"/>
    </row>
    <row r="33" ht="24" customHeight="1">
      <c r="A33" s="389" t="n">
        <v>26</v>
      </c>
      <c r="B33" s="390" t="inlineStr">
        <is>
          <t>木</t>
        </is>
      </c>
      <c r="C33" s="394" t="inlineStr">
        <is>
          <t>50×4　木①～④　生徒総会　内科検診　SC来校</t>
        </is>
      </c>
      <c r="D33" s="398" t="inlineStr">
        <is>
          <t>休み</t>
        </is>
      </c>
      <c r="E33" s="370" t="n"/>
      <c r="F33" s="310" t="n"/>
      <c r="G33" s="310" t="n"/>
    </row>
    <row r="34" ht="24" customHeight="1">
      <c r="A34" s="389" t="n">
        <v>27</v>
      </c>
      <c r="B34" s="390" t="inlineStr">
        <is>
          <t>金</t>
        </is>
      </c>
      <c r="C34" s="394" t="inlineStr">
        <is>
          <t>期末テスト</t>
        </is>
      </c>
      <c r="D34" s="398" t="inlineStr">
        <is>
          <t>休み</t>
        </is>
      </c>
      <c r="E34" s="370" t="n"/>
      <c r="F34" s="310" t="n"/>
      <c r="G34" s="310" t="n"/>
    </row>
    <row r="35" ht="24" customHeight="1">
      <c r="A35" s="391" t="n">
        <v>28</v>
      </c>
      <c r="B35" s="392" t="inlineStr">
        <is>
          <t>土</t>
        </is>
      </c>
      <c r="C35" s="395" t="n"/>
      <c r="D35" s="399" t="inlineStr">
        <is>
          <t>休み</t>
        </is>
      </c>
      <c r="E35" s="371" t="n"/>
      <c r="F35" s="310" t="n"/>
      <c r="G35" s="310" t="n"/>
    </row>
    <row r="36" ht="24" customHeight="1">
      <c r="A36" s="391" t="n">
        <v>29</v>
      </c>
      <c r="B36" s="392" t="inlineStr">
        <is>
          <t>日</t>
        </is>
      </c>
      <c r="C36" s="395" t="n"/>
      <c r="D36" s="399" t="inlineStr">
        <is>
          <t>休み</t>
        </is>
      </c>
      <c r="E36" s="371" t="n"/>
      <c r="F36" s="310" t="n"/>
      <c r="G36" s="310" t="n"/>
    </row>
    <row r="37" ht="24" customHeight="1" thickBot="1">
      <c r="A37" s="389" t="n">
        <v>30</v>
      </c>
      <c r="B37" s="390" t="inlineStr">
        <is>
          <t>月</t>
        </is>
      </c>
      <c r="C37" s="396" t="inlineStr">
        <is>
          <t>期末テスト</t>
        </is>
      </c>
      <c r="D37" s="400" t="inlineStr">
        <is>
          <t>休み</t>
        </is>
      </c>
      <c r="E37" s="372" t="n"/>
      <c r="F37" s="310" t="n"/>
      <c r="G37" s="310" t="n"/>
    </row>
    <row r="38" ht="126.75" customHeight="1" thickBot="1">
      <c r="A38" s="524" t="inlineStr">
        <is>
          <t>・コンクールの曲
・麻生音楽祭の曲</t>
        </is>
      </c>
      <c r="B38" s="525" t="n"/>
      <c r="C38" s="525" t="n"/>
      <c r="D38" s="525" t="n"/>
      <c r="E38" s="526" t="n"/>
      <c r="F38" s="406" t="n"/>
      <c r="G38" s="345" t="n"/>
    </row>
  </sheetData>
  <mergeCells count="8">
    <mergeCell ref="A4:C4"/>
    <mergeCell ref="A38:E38"/>
    <mergeCell ref="A1:C1"/>
    <mergeCell ref="A5:C5"/>
    <mergeCell ref="A7:E7"/>
    <mergeCell ref="A3:C3"/>
    <mergeCell ref="A6:E6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4" horizontalDpi="4294967294"/>
</worksheet>
</file>

<file path=xl/worksheets/sheet12.xml><?xml version="1.0" encoding="utf-8"?>
<worksheet xmlns="http://schemas.openxmlformats.org/spreadsheetml/2006/main">
  <sheetPr codeName="Sheet11">
    <outlinePr summaryBelow="1" summaryRight="1"/>
    <pageSetUpPr fitToPage="1"/>
  </sheetPr>
  <dimension ref="A1:R39"/>
  <sheetViews>
    <sheetView view="pageBreakPreview" topLeftCell="A8" zoomScale="85" zoomScaleNormal="100" zoomScaleSheetLayoutView="85" workbookViewId="0">
      <selection activeCell="C21" sqref="C21"/>
    </sheetView>
  </sheetViews>
  <sheetFormatPr baseColWidth="8" defaultColWidth="9" defaultRowHeight="13.2"/>
  <cols>
    <col width="5.5546875" bestFit="1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536" t="inlineStr">
        <is>
          <t>2025年度　5月　吹奏楽部活動予定</t>
        </is>
      </c>
      <c r="B7" s="525" t="n"/>
      <c r="C7" s="525" t="n"/>
      <c r="D7" s="525" t="n"/>
      <c r="E7" s="526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387" t="n">
        <v>1</v>
      </c>
      <c r="B8" s="388" t="inlineStr">
        <is>
          <t>木</t>
        </is>
      </c>
      <c r="C8" s="393" t="inlineStr">
        <is>
          <t>新体力テスト・身体測定　　体育祭準備集会(3)</t>
        </is>
      </c>
      <c r="D8" s="397" t="inlineStr">
        <is>
          <t>～18:00</t>
        </is>
      </c>
      <c r="E8" s="369" t="n"/>
      <c r="F8" s="310" t="inlineStr">
        <is>
          <t>１行  15.75</t>
        </is>
      </c>
      <c r="G8" s="310" t="n"/>
    </row>
    <row r="9" ht="24" customHeight="1">
      <c r="A9" s="389" t="n">
        <v>2</v>
      </c>
      <c r="B9" s="390" t="inlineStr">
        <is>
          <t>金</t>
        </is>
      </c>
      <c r="C9" s="394" t="inlineStr">
        <is>
          <t>校外学習</t>
        </is>
      </c>
      <c r="D9" s="398" t="inlineStr">
        <is>
          <t>休み</t>
        </is>
      </c>
      <c r="E9" s="370" t="n"/>
      <c r="F9" s="310" t="inlineStr">
        <is>
          <t>MSPゴシック１２　日・曜日・行事</t>
        </is>
      </c>
      <c r="G9" s="310" t="n"/>
    </row>
    <row r="10" ht="24" customHeight="1">
      <c r="A10" s="391" t="n">
        <v>3</v>
      </c>
      <c r="B10" s="392" t="inlineStr">
        <is>
          <t>土</t>
        </is>
      </c>
      <c r="C10" s="395" t="inlineStr">
        <is>
          <t>憲法記念日</t>
        </is>
      </c>
      <c r="D10" s="399" t="inlineStr">
        <is>
          <t>9:00～16:00</t>
        </is>
      </c>
      <c r="E10" s="371" t="inlineStr">
        <is>
          <t>保護者会ミニコンサート</t>
        </is>
      </c>
      <c r="F10" s="310" t="n"/>
      <c r="G10" s="310" t="n"/>
    </row>
    <row r="11" ht="24" customHeight="1">
      <c r="A11" s="391" t="n">
        <v>4</v>
      </c>
      <c r="B11" s="392" t="inlineStr">
        <is>
          <t>日</t>
        </is>
      </c>
      <c r="C11" s="395" t="inlineStr">
        <is>
          <t>みどりの日</t>
        </is>
      </c>
      <c r="D11" s="399" t="inlineStr">
        <is>
          <t>休み</t>
        </is>
      </c>
      <c r="E11" s="371" t="inlineStr">
        <is>
          <t>暫定では練習でしたが休みです</t>
        </is>
      </c>
      <c r="F11" s="310" t="n"/>
      <c r="G11" s="310" t="n"/>
    </row>
    <row r="12" ht="24" customHeight="1">
      <c r="A12" s="391" t="n">
        <v>5</v>
      </c>
      <c r="B12" s="392" t="inlineStr">
        <is>
          <t>月</t>
        </is>
      </c>
      <c r="C12" s="395" t="inlineStr">
        <is>
          <t>こどもの日</t>
        </is>
      </c>
      <c r="D12" s="399" t="inlineStr">
        <is>
          <t>休み</t>
        </is>
      </c>
      <c r="E12" s="371" t="n"/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391" t="n">
        <v>6</v>
      </c>
      <c r="B13" s="392" t="inlineStr">
        <is>
          <t>火</t>
        </is>
      </c>
      <c r="C13" s="395" t="inlineStr">
        <is>
          <t>振替休日</t>
        </is>
      </c>
      <c r="D13" s="399" t="inlineStr">
        <is>
          <t>休み</t>
        </is>
      </c>
      <c r="E13" s="371" t="n"/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391" t="n">
        <v>7</v>
      </c>
      <c r="B14" s="392" t="inlineStr">
        <is>
          <t>水</t>
        </is>
      </c>
      <c r="C14" s="395" t="inlineStr">
        <is>
          <t>授業参観、学年懇談会（5/10）代休</t>
        </is>
      </c>
      <c r="D14" s="399" t="inlineStr">
        <is>
          <t>休み</t>
        </is>
      </c>
      <c r="E14" s="371" t="n"/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389" t="n">
        <v>8</v>
      </c>
      <c r="B15" s="390" t="inlineStr">
        <is>
          <t>木</t>
        </is>
      </c>
      <c r="C15" s="396" t="inlineStr">
        <is>
          <t>内科検診</t>
        </is>
      </c>
      <c r="D15" s="400" t="inlineStr">
        <is>
          <t>休み</t>
        </is>
      </c>
      <c r="E15" s="372" t="n"/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389" t="n">
        <v>9</v>
      </c>
      <c r="B16" s="390" t="inlineStr">
        <is>
          <t>金</t>
        </is>
      </c>
      <c r="C16" s="394" t="inlineStr">
        <is>
          <t>教育実習オリエンテーション</t>
        </is>
      </c>
      <c r="D16" s="398" t="inlineStr">
        <is>
          <t>休み</t>
        </is>
      </c>
      <c r="E16" s="370" t="n"/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389" t="n">
        <v>10</v>
      </c>
      <c r="B17" s="390" t="inlineStr">
        <is>
          <t>土</t>
        </is>
      </c>
      <c r="C17" s="394" t="inlineStr">
        <is>
          <t>AM①②③授業　　PM授業参観、学年懇談会、ＰＴＡ運営委員会・総会</t>
        </is>
      </c>
      <c r="D17" s="398" t="inlineStr">
        <is>
          <t>休み</t>
        </is>
      </c>
      <c r="E17" s="370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391" t="n">
        <v>11</v>
      </c>
      <c r="B18" s="392" t="inlineStr">
        <is>
          <t>日</t>
        </is>
      </c>
      <c r="C18" s="395" t="n"/>
      <c r="D18" s="399" t="inlineStr">
        <is>
          <t>休み</t>
        </is>
      </c>
      <c r="E18" s="371" t="n"/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389" t="n">
        <v>12</v>
      </c>
      <c r="B19" s="390" t="inlineStr">
        <is>
          <t>月</t>
        </is>
      </c>
      <c r="C19" s="394" t="n"/>
      <c r="D19" s="398" t="inlineStr">
        <is>
          <t>休み</t>
        </is>
      </c>
      <c r="E19" s="370" t="n"/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389" t="n">
        <v>13</v>
      </c>
      <c r="B20" s="390" t="inlineStr">
        <is>
          <t>火</t>
        </is>
      </c>
      <c r="C20" s="394" t="n"/>
      <c r="D20" s="398" t="inlineStr">
        <is>
          <t>休み</t>
        </is>
      </c>
      <c r="E20" s="370" t="n"/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389" t="n">
        <v>14</v>
      </c>
      <c r="B21" s="390" t="inlineStr">
        <is>
          <t>水</t>
        </is>
      </c>
      <c r="C21" s="394" t="inlineStr">
        <is>
          <t>中間テスト　　服装・頭髪検査（テスト期間）</t>
        </is>
      </c>
      <c r="D21" s="398" t="inlineStr">
        <is>
          <t>休み</t>
        </is>
      </c>
      <c r="E21" s="370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389" t="n">
        <v>15</v>
      </c>
      <c r="B22" s="390" t="inlineStr">
        <is>
          <t>木</t>
        </is>
      </c>
      <c r="C22" s="394" t="inlineStr">
        <is>
          <t>中間テスト　　体育祭準備集会(4)</t>
        </is>
      </c>
      <c r="D22" s="398" t="inlineStr">
        <is>
          <t>～17:00</t>
        </is>
      </c>
      <c r="E22" s="370" t="n"/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389" t="n">
        <v>16</v>
      </c>
      <c r="B23" s="390" t="inlineStr">
        <is>
          <t>金</t>
        </is>
      </c>
      <c r="C23" s="394" t="inlineStr">
        <is>
          <t>職員会議</t>
        </is>
      </c>
      <c r="D23" s="398" t="inlineStr">
        <is>
          <t>～18:00</t>
        </is>
      </c>
      <c r="E23" s="370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391" t="n">
        <v>17</v>
      </c>
      <c r="B24" s="392" t="inlineStr">
        <is>
          <t>土</t>
        </is>
      </c>
      <c r="C24" s="395" t="n"/>
      <c r="D24" s="399" t="inlineStr">
        <is>
          <t>9:00～16:00</t>
        </is>
      </c>
      <c r="E24" s="371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391" t="n">
        <v>18</v>
      </c>
      <c r="B25" s="392" t="inlineStr">
        <is>
          <t>日</t>
        </is>
      </c>
      <c r="C25" s="395" t="n"/>
      <c r="D25" s="399" t="inlineStr">
        <is>
          <t>休み</t>
        </is>
      </c>
      <c r="E25" s="371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389" t="n">
        <v>19</v>
      </c>
      <c r="B26" s="390" t="inlineStr">
        <is>
          <t>月</t>
        </is>
      </c>
      <c r="C26" s="394" t="inlineStr">
        <is>
          <t>④科目選択説明会（2年体育館）　　教育実習（～6/6）</t>
        </is>
      </c>
      <c r="D26" s="398" t="inlineStr">
        <is>
          <t>休み</t>
        </is>
      </c>
      <c r="E26" s="370" t="n"/>
      <c r="F26" s="310" t="n"/>
      <c r="G26" s="310" t="n"/>
    </row>
    <row r="27" ht="24" customHeight="1">
      <c r="A27" s="389" t="n">
        <v>20</v>
      </c>
      <c r="B27" s="390" t="inlineStr">
        <is>
          <t>火</t>
        </is>
      </c>
      <c r="C27" s="394" t="n"/>
      <c r="D27" s="398" t="inlineStr">
        <is>
          <t>～18:00</t>
        </is>
      </c>
      <c r="E27" s="370" t="n"/>
      <c r="F27" s="310" t="n"/>
      <c r="G27" s="310" t="n"/>
    </row>
    <row r="28" ht="24" customHeight="1">
      <c r="A28" s="389" t="n">
        <v>21</v>
      </c>
      <c r="B28" s="390" t="inlineStr">
        <is>
          <t>水</t>
        </is>
      </c>
      <c r="C28" s="396" t="n"/>
      <c r="D28" s="400" t="inlineStr">
        <is>
          <t>～18:00</t>
        </is>
      </c>
      <c r="E28" s="372" t="n"/>
      <c r="F28" s="310" t="n"/>
      <c r="G28" s="310" t="n"/>
    </row>
    <row r="29" ht="24" customHeight="1">
      <c r="A29" s="389" t="n">
        <v>22</v>
      </c>
      <c r="B29" s="390" t="inlineStr">
        <is>
          <t>木</t>
        </is>
      </c>
      <c r="C29" s="394" t="inlineStr">
        <is>
          <t>体育祭準備集会(5)</t>
        </is>
      </c>
      <c r="D29" s="398" t="inlineStr">
        <is>
          <t>～18:00</t>
        </is>
      </c>
      <c r="E29" s="370" t="n"/>
      <c r="F29" s="310" t="n"/>
      <c r="G29" s="310" t="n"/>
    </row>
    <row r="30" ht="24" customHeight="1">
      <c r="A30" s="389" t="n">
        <v>23</v>
      </c>
      <c r="B30" s="390" t="inlineStr">
        <is>
          <t>金</t>
        </is>
      </c>
      <c r="C30" s="394" t="inlineStr">
        <is>
          <t>尿検査</t>
        </is>
      </c>
      <c r="D30" s="398" t="inlineStr">
        <is>
          <t>～18:00</t>
        </is>
      </c>
      <c r="E30" s="370" t="n"/>
      <c r="F30" s="310" t="n"/>
      <c r="G30" s="310" t="n"/>
    </row>
    <row r="31" ht="24" customHeight="1">
      <c r="A31" s="391" t="n">
        <v>24</v>
      </c>
      <c r="B31" s="392" t="inlineStr">
        <is>
          <t>土</t>
        </is>
      </c>
      <c r="C31" s="395" t="n"/>
      <c r="D31" s="399" t="inlineStr">
        <is>
          <t>9:00～16:00</t>
        </is>
      </c>
      <c r="E31" s="371" t="n"/>
      <c r="F31" s="310" t="n"/>
      <c r="G31" s="310" t="n"/>
    </row>
    <row r="32" ht="24" customHeight="1">
      <c r="A32" s="391" t="n">
        <v>25</v>
      </c>
      <c r="B32" s="392" t="inlineStr">
        <is>
          <t>日</t>
        </is>
      </c>
      <c r="C32" s="395" t="n"/>
      <c r="D32" s="399" t="inlineStr">
        <is>
          <t>休み</t>
        </is>
      </c>
      <c r="E32" s="371" t="n"/>
      <c r="F32" s="310" t="n"/>
      <c r="G32" s="310" t="n"/>
    </row>
    <row r="33" ht="24" customHeight="1">
      <c r="A33" s="389" t="n">
        <v>26</v>
      </c>
      <c r="B33" s="390" t="inlineStr">
        <is>
          <t>月</t>
        </is>
      </c>
      <c r="C33" s="396" t="n"/>
      <c r="D33" s="400" t="inlineStr">
        <is>
          <t>休み</t>
        </is>
      </c>
      <c r="E33" s="372" t="n"/>
      <c r="F33" s="310" t="n"/>
      <c r="G33" s="310" t="n"/>
    </row>
    <row r="34" ht="24" customHeight="1">
      <c r="A34" s="389" t="n">
        <v>27</v>
      </c>
      <c r="B34" s="390" t="inlineStr">
        <is>
          <t>火</t>
        </is>
      </c>
      <c r="C34" s="394" t="n"/>
      <c r="D34" s="398" t="inlineStr">
        <is>
          <t>～18:00</t>
        </is>
      </c>
      <c r="E34" s="370" t="n"/>
      <c r="F34" s="310" t="n"/>
      <c r="G34" s="310" t="n"/>
    </row>
    <row r="35" ht="24" customHeight="1">
      <c r="A35" s="389" t="n">
        <v>28</v>
      </c>
      <c r="B35" s="390" t="inlineStr">
        <is>
          <t>水</t>
        </is>
      </c>
      <c r="C35" s="394" t="inlineStr">
        <is>
          <t>④体育祭準備集会(6)、午後準備　　耳鼻科検診</t>
        </is>
      </c>
      <c r="D35" s="398" t="inlineStr">
        <is>
          <t>～18:00</t>
        </is>
      </c>
      <c r="E35" s="370" t="inlineStr">
        <is>
          <t>体育祭準備に合わせて各々練習</t>
        </is>
      </c>
      <c r="F35" s="310" t="n"/>
      <c r="G35" s="310" t="n"/>
    </row>
    <row r="36" ht="24" customHeight="1">
      <c r="A36" s="389" t="n">
        <v>29</v>
      </c>
      <c r="B36" s="390" t="inlineStr">
        <is>
          <t>木</t>
        </is>
      </c>
      <c r="C36" s="394" t="inlineStr">
        <is>
          <t>体育祭予行</t>
        </is>
      </c>
      <c r="D36" s="398" t="inlineStr">
        <is>
          <t>～18:00（未定）</t>
        </is>
      </c>
      <c r="E36" s="370" t="inlineStr">
        <is>
          <t>演技応援等あるかもしれませんが、必要に応じて部活動対抗リレーなど</t>
        </is>
      </c>
      <c r="F36" s="310" t="n"/>
      <c r="G36" s="310" t="n"/>
    </row>
    <row r="37" ht="24" customHeight="1">
      <c r="A37" s="389" t="n">
        <v>30</v>
      </c>
      <c r="B37" s="390" t="inlineStr">
        <is>
          <t>金</t>
        </is>
      </c>
      <c r="C37" s="396" t="inlineStr">
        <is>
          <t>体育祭</t>
        </is>
      </c>
      <c r="D37" s="400" t="inlineStr">
        <is>
          <t>休み</t>
        </is>
      </c>
      <c r="E37" s="372" t="n"/>
      <c r="F37" s="310" t="n"/>
      <c r="G37" s="310" t="n"/>
    </row>
    <row r="38" ht="24" customHeight="1" thickBot="1">
      <c r="A38" s="391" t="n">
        <v>31</v>
      </c>
      <c r="B38" s="392" t="inlineStr">
        <is>
          <t>土</t>
        </is>
      </c>
      <c r="C38" s="395" t="n"/>
      <c r="D38" s="399" t="inlineStr">
        <is>
          <t>9:00～16:00</t>
        </is>
      </c>
      <c r="E38" s="371" t="n"/>
      <c r="F38" s="310" t="n"/>
      <c r="G38" s="310" t="n"/>
    </row>
    <row r="39" ht="126.75" customHeight="1" thickBot="1">
      <c r="A39" s="524" t="inlineStr">
        <is>
          <t>・保護者会
・コンクールの曲
・麻生音楽祭の曲
・体育祭部活対抗リレーで演奏</t>
        </is>
      </c>
      <c r="B39" s="525" t="n"/>
      <c r="C39" s="525" t="n"/>
      <c r="D39" s="525" t="n"/>
      <c r="E39" s="526" t="n"/>
      <c r="F39" s="406" t="n"/>
      <c r="G39" s="345" t="n"/>
    </row>
  </sheetData>
  <mergeCells count="8">
    <mergeCell ref="A39:E39"/>
    <mergeCell ref="A4:C4"/>
    <mergeCell ref="A1:C1"/>
    <mergeCell ref="A5:C5"/>
    <mergeCell ref="A7:E7"/>
    <mergeCell ref="A3:C3"/>
    <mergeCell ref="A6:E6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4" horizontalDpi="4294967294"/>
</worksheet>
</file>

<file path=xl/worksheets/sheet13.xml><?xml version="1.0" encoding="utf-8"?>
<worksheet xmlns="http://schemas.openxmlformats.org/spreadsheetml/2006/main">
  <sheetPr codeName="Sheet12">
    <outlinePr summaryBelow="1" summaryRight="1"/>
    <pageSetUpPr fitToPage="1"/>
  </sheetPr>
  <dimension ref="A1:R39"/>
  <sheetViews>
    <sheetView view="pageBreakPreview" topLeftCell="A31" zoomScale="115" zoomScaleNormal="100" zoomScaleSheetLayoutView="115" workbookViewId="0">
      <selection activeCell="D33" sqref="D30:D33"/>
    </sheetView>
  </sheetViews>
  <sheetFormatPr baseColWidth="8" defaultColWidth="9" defaultRowHeight="13.2"/>
  <cols>
    <col width="4.44140625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536" t="inlineStr">
        <is>
          <t>2025年度4月　吹奏楽部活動予定</t>
        </is>
      </c>
      <c r="B7" s="525" t="n"/>
      <c r="C7" s="525" t="n"/>
      <c r="D7" s="525" t="n"/>
      <c r="E7" s="526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378" t="n">
        <v>1</v>
      </c>
      <c r="B8" s="379" t="inlineStr">
        <is>
          <t>火</t>
        </is>
      </c>
      <c r="C8" s="393" t="inlineStr">
        <is>
          <t xml:space="preserve">学年始休業（～4/4）　　　　辞令交付式　</t>
        </is>
      </c>
      <c r="D8" s="376" t="inlineStr">
        <is>
          <t>9:00～</t>
        </is>
      </c>
      <c r="E8" s="405" t="inlineStr">
        <is>
          <t>定期演奏会の片付け・必要に応じて新入生勧誘の準備、
マルシェや保護者会の曲ぎめなど</t>
        </is>
      </c>
      <c r="F8" s="310" t="inlineStr">
        <is>
          <t>１行  15.75</t>
        </is>
      </c>
      <c r="G8" s="310" t="n"/>
    </row>
    <row r="9" ht="24" customHeight="1">
      <c r="A9" s="380" t="n">
        <v>2</v>
      </c>
      <c r="B9" s="381" t="inlineStr">
        <is>
          <t>水</t>
        </is>
      </c>
      <c r="C9" s="394" t="inlineStr">
        <is>
          <t>グループ会議　学年会　　教科会　　企画会議</t>
        </is>
      </c>
      <c r="D9" s="344" t="inlineStr">
        <is>
          <t>休み</t>
        </is>
      </c>
      <c r="E9" s="373" t="n"/>
      <c r="F9" s="310" t="inlineStr">
        <is>
          <t>MSPゴシック１２　日・曜日・行事</t>
        </is>
      </c>
      <c r="G9" s="310" t="n"/>
    </row>
    <row r="10" ht="24" customHeight="1">
      <c r="A10" s="380" t="n">
        <v>3</v>
      </c>
      <c r="B10" s="381" t="inlineStr">
        <is>
          <t>木</t>
        </is>
      </c>
      <c r="C10" s="401" t="n"/>
      <c r="D10" s="344" t="inlineStr">
        <is>
          <t>休み</t>
        </is>
      </c>
      <c r="E10" s="373" t="n"/>
      <c r="F10" s="310" t="n"/>
      <c r="G10" s="310" t="n"/>
    </row>
    <row r="11" ht="24" customHeight="1">
      <c r="A11" s="380" t="n">
        <v>4</v>
      </c>
      <c r="B11" s="381" t="inlineStr">
        <is>
          <t>金</t>
        </is>
      </c>
      <c r="C11" s="396" t="inlineStr">
        <is>
          <t>職員会議　　顧問会議　　学年会</t>
        </is>
      </c>
      <c r="D11" s="344" t="inlineStr">
        <is>
          <t>休み</t>
        </is>
      </c>
      <c r="E11" s="373" t="n"/>
      <c r="F11" s="310" t="n"/>
      <c r="G11" s="310" t="n"/>
    </row>
    <row r="12" ht="24" customHeight="1">
      <c r="A12" s="382" t="n">
        <v>5</v>
      </c>
      <c r="B12" s="383" t="inlineStr">
        <is>
          <t>土</t>
        </is>
      </c>
      <c r="C12" s="402" t="n"/>
      <c r="D12" s="343" t="inlineStr">
        <is>
          <t>9:00～16:00</t>
        </is>
      </c>
      <c r="E12" s="374" t="inlineStr">
        <is>
          <t>新入生歓迎会の練習・登戸たまがわマルシェの曲・入学式の練習</t>
        </is>
      </c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382" t="n">
        <v>6</v>
      </c>
      <c r="B13" s="383" t="inlineStr">
        <is>
          <t>日</t>
        </is>
      </c>
      <c r="C13" s="395" t="n"/>
      <c r="D13" s="343" t="inlineStr">
        <is>
          <t>休み</t>
        </is>
      </c>
      <c r="E13" s="374" t="n"/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380" t="n">
        <v>7</v>
      </c>
      <c r="B14" s="381" t="inlineStr">
        <is>
          <t>月</t>
        </is>
      </c>
      <c r="C14" s="394" t="inlineStr">
        <is>
          <t>着任式　１学期始業式・２，３年奨学金説明会　　入学式準備（設営・清掃）　 　学年会</t>
        </is>
      </c>
      <c r="D14" s="344" t="inlineStr">
        <is>
          <t>～16:00</t>
        </is>
      </c>
      <c r="E14" s="373" t="inlineStr">
        <is>
          <t>入学式の練習</t>
        </is>
      </c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380" t="n">
        <v>8</v>
      </c>
      <c r="B15" s="381" t="inlineStr">
        <is>
          <t>火</t>
        </is>
      </c>
      <c r="C15" s="394" t="inlineStr">
        <is>
          <t>入学式　　芸術教科書購入、PTA入会式　　自転車保険申込（1年）　　PM新入生歓迎会リハ</t>
        </is>
      </c>
      <c r="D15" s="344" t="inlineStr">
        <is>
          <t>入学式</t>
        </is>
      </c>
      <c r="E15" s="373" t="inlineStr">
        <is>
          <t>入学式の演奏・入学式後のビラ配り・新歓リハやって解散</t>
        </is>
      </c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380" t="n">
        <v>9</v>
      </c>
      <c r="B16" s="381" t="inlineStr">
        <is>
          <t>水</t>
        </is>
      </c>
      <c r="C16" s="394" t="inlineStr">
        <is>
          <t>クラス写真・１年個人写真　PM新入生歓迎会　　自転車登録</t>
        </is>
      </c>
      <c r="D16" s="344" t="inlineStr">
        <is>
          <t>～18:00</t>
        </is>
      </c>
      <c r="E16" s="373" t="inlineStr">
        <is>
          <t>新入生歓迎会で演奏</t>
        </is>
      </c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380" t="n">
        <v>10</v>
      </c>
      <c r="B17" s="381" t="inlineStr">
        <is>
          <t>木</t>
        </is>
      </c>
      <c r="C17" s="394" t="inlineStr">
        <is>
          <t>③LHR④体育祭準備集会(1)</t>
        </is>
      </c>
      <c r="D17" s="344" t="inlineStr">
        <is>
          <t>休み</t>
        </is>
      </c>
      <c r="E17" s="373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380" t="n">
        <v>11</v>
      </c>
      <c r="B18" s="381" t="inlineStr">
        <is>
          <t>金</t>
        </is>
      </c>
      <c r="C18" s="394" t="inlineStr">
        <is>
          <t>授業見に行こう月間（～5/9） 　　眼科健診</t>
        </is>
      </c>
      <c r="D18" s="344" t="inlineStr">
        <is>
          <t>～18:00</t>
        </is>
      </c>
      <c r="E18" s="373" t="n"/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384" t="n">
        <v>12</v>
      </c>
      <c r="B19" s="383" t="inlineStr">
        <is>
          <t>土</t>
        </is>
      </c>
      <c r="C19" s="402" t="n"/>
      <c r="D19" s="343" t="inlineStr">
        <is>
          <t>9:00～16:00</t>
        </is>
      </c>
      <c r="E19" s="374" t="n"/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384" t="n">
        <v>13</v>
      </c>
      <c r="B20" s="383" t="inlineStr">
        <is>
          <t>日</t>
        </is>
      </c>
      <c r="C20" s="395" t="n"/>
      <c r="D20" s="343" t="inlineStr">
        <is>
          <t>休み</t>
        </is>
      </c>
      <c r="E20" s="374" t="n"/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380" t="n">
        <v>14</v>
      </c>
      <c r="B21" s="381" t="inlineStr">
        <is>
          <t>月</t>
        </is>
      </c>
      <c r="C21" s="394" t="inlineStr">
        <is>
          <t>④予約奨学金・共通テスト説明会（3年体育館）　　年度末監査</t>
        </is>
      </c>
      <c r="D21" s="344" t="inlineStr">
        <is>
          <t>～18:00</t>
        </is>
      </c>
      <c r="E21" s="373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380" t="n">
        <v>15</v>
      </c>
      <c r="B22" s="381" t="inlineStr">
        <is>
          <t>火</t>
        </is>
      </c>
      <c r="C22" s="394" t="inlineStr">
        <is>
          <t>４０×７（⑤体育祭準備集会(2)）　　一斉委員会　　尿検査</t>
        </is>
      </c>
      <c r="D22" s="344" t="inlineStr">
        <is>
          <t>～18:00</t>
        </is>
      </c>
      <c r="E22" s="373" t="inlineStr">
        <is>
          <t>部活動体験・新入生勧誘</t>
        </is>
      </c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380" t="n">
        <v>16</v>
      </c>
      <c r="B23" s="381" t="inlineStr">
        <is>
          <t>水</t>
        </is>
      </c>
      <c r="C23" s="394" t="inlineStr">
        <is>
          <t>文化祭代表者要項説明会、部門希望書配布　　昼休み；３年生、部活動、委員会　　放課後；１・２年生</t>
        </is>
      </c>
      <c r="D23" s="344" t="inlineStr">
        <is>
          <t>～18:00</t>
        </is>
      </c>
      <c r="E23" s="373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47.25" customHeight="1">
      <c r="A24" s="380" t="n">
        <v>17</v>
      </c>
      <c r="B24" s="381" t="inlineStr">
        <is>
          <t>木</t>
        </is>
      </c>
      <c r="C24" s="394" t="inlineStr">
        <is>
          <t>内科検診</t>
        </is>
      </c>
      <c r="D24" s="344" t="inlineStr">
        <is>
          <t>～18:00</t>
        </is>
      </c>
      <c r="E24" s="373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380" t="n">
        <v>18</v>
      </c>
      <c r="B25" s="381" t="inlineStr">
        <is>
          <t>金</t>
        </is>
      </c>
      <c r="C25" s="394" t="inlineStr">
        <is>
          <t>部登録　４０×７（⑤LHR文化祭企画検討）</t>
        </is>
      </c>
      <c r="D25" s="344" t="inlineStr">
        <is>
          <t>～18:00</t>
        </is>
      </c>
      <c r="E25" s="373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384" t="n">
        <v>19</v>
      </c>
      <c r="B26" s="383" t="inlineStr">
        <is>
          <t>土</t>
        </is>
      </c>
      <c r="C26" s="395" t="inlineStr">
        <is>
          <t>ＰＴＡ新旧役員会・拡大運営委員会</t>
        </is>
      </c>
      <c r="D26" s="343" t="inlineStr">
        <is>
          <t>9:00～16:00</t>
        </is>
      </c>
      <c r="E26" s="374" t="inlineStr">
        <is>
          <t>1年生はAMのみ（楽器決め）、2・3年生PM練習</t>
        </is>
      </c>
      <c r="F26" s="310" t="n"/>
      <c r="G26" s="310" t="n"/>
    </row>
    <row r="27" ht="24" customHeight="1">
      <c r="A27" s="384" t="n">
        <v>20</v>
      </c>
      <c r="B27" s="383" t="inlineStr">
        <is>
          <t>日</t>
        </is>
      </c>
      <c r="C27" s="403" t="n"/>
      <c r="D27" s="343" t="inlineStr">
        <is>
          <t>休み</t>
        </is>
      </c>
      <c r="E27" s="374" t="n"/>
      <c r="F27" s="310" t="n"/>
      <c r="G27" s="310" t="n"/>
    </row>
    <row r="28" ht="24" customHeight="1">
      <c r="A28" s="380" t="n">
        <v>21</v>
      </c>
      <c r="B28" s="381" t="inlineStr">
        <is>
          <t>月</t>
        </is>
      </c>
      <c r="C28" s="394" t="inlineStr">
        <is>
          <t>④学校推薦型・総合型選抜説明会（3年体育館）</t>
        </is>
      </c>
      <c r="D28" s="344" t="inlineStr">
        <is>
          <t>休み</t>
        </is>
      </c>
      <c r="E28" s="373" t="n"/>
      <c r="F28" s="310" t="n"/>
      <c r="G28" s="310" t="n"/>
    </row>
    <row r="29" ht="24" customHeight="1">
      <c r="A29" s="380" t="n">
        <v>22</v>
      </c>
      <c r="B29" s="381" t="inlineStr">
        <is>
          <t>火</t>
        </is>
      </c>
      <c r="C29" s="394" t="inlineStr">
        <is>
          <t>全日：1・2年外部試験・3年模試　　自転車通学者指導</t>
        </is>
      </c>
      <c r="D29" s="344" t="inlineStr">
        <is>
          <t>～18:00</t>
        </is>
      </c>
      <c r="E29" s="373" t="n"/>
      <c r="F29" s="310" t="n"/>
      <c r="G29" s="310" t="n"/>
    </row>
    <row r="30" ht="24" customHeight="1">
      <c r="A30" s="380" t="n">
        <v>23</v>
      </c>
      <c r="B30" s="381" t="inlineStr">
        <is>
          <t>水</t>
        </is>
      </c>
      <c r="C30" s="396" t="n"/>
      <c r="D30" s="344" t="inlineStr">
        <is>
          <t>～18:00</t>
        </is>
      </c>
      <c r="E30" s="373" t="n"/>
      <c r="F30" s="310" t="n"/>
      <c r="G30" s="310" t="n"/>
    </row>
    <row r="31" ht="24" customHeight="1">
      <c r="A31" s="380" t="n">
        <v>24</v>
      </c>
      <c r="B31" s="381" t="inlineStr">
        <is>
          <t>木</t>
        </is>
      </c>
      <c r="C31" s="394" t="inlineStr">
        <is>
          <t>職員会議　　内科検診　　文化祭部門希望票提出締切</t>
        </is>
      </c>
      <c r="D31" s="344" t="inlineStr">
        <is>
          <t>～18:00</t>
        </is>
      </c>
      <c r="E31" s="373" t="n"/>
      <c r="F31" s="310" t="n"/>
      <c r="G31" s="310" t="n"/>
    </row>
    <row r="32" ht="24" customHeight="1">
      <c r="A32" s="380" t="n">
        <v>25</v>
      </c>
      <c r="B32" s="381" t="inlineStr">
        <is>
          <t>金</t>
        </is>
      </c>
      <c r="C32" s="394" t="n"/>
      <c r="D32" s="344" t="inlineStr">
        <is>
          <t>～18:00</t>
        </is>
      </c>
      <c r="E32" s="373" t="n"/>
      <c r="F32" s="310" t="n"/>
      <c r="G32" s="310" t="n"/>
    </row>
    <row r="33" ht="24" customHeight="1">
      <c r="A33" s="384" t="n">
        <v>26</v>
      </c>
      <c r="B33" s="383" t="inlineStr">
        <is>
          <t>土</t>
        </is>
      </c>
      <c r="C33" s="395" t="n"/>
      <c r="D33" s="343" t="inlineStr">
        <is>
          <t>本番</t>
        </is>
      </c>
      <c r="E33" s="374" t="inlineStr">
        <is>
          <t>登戸たまがわマルシェ</t>
        </is>
      </c>
      <c r="F33" s="310" t="n"/>
      <c r="G33" s="310" t="n"/>
    </row>
    <row r="34" ht="24" customHeight="1">
      <c r="A34" s="384" t="n">
        <v>27</v>
      </c>
      <c r="B34" s="383" t="inlineStr">
        <is>
          <t>日</t>
        </is>
      </c>
      <c r="C34" s="395" t="n"/>
      <c r="D34" s="343" t="inlineStr">
        <is>
          <t>休み</t>
        </is>
      </c>
      <c r="E34" s="374" t="n"/>
      <c r="F34" s="310" t="n"/>
      <c r="G34" s="310" t="n"/>
    </row>
    <row r="35" ht="24" customHeight="1">
      <c r="A35" s="380" t="n">
        <v>28</v>
      </c>
      <c r="B35" s="381" t="inlineStr">
        <is>
          <t>月</t>
        </is>
      </c>
      <c r="C35" s="396" t="n"/>
      <c r="D35" s="344" t="inlineStr">
        <is>
          <t>休み</t>
        </is>
      </c>
      <c r="E35" s="373" t="n"/>
      <c r="F35" s="310" t="n"/>
      <c r="G35" s="310" t="n"/>
    </row>
    <row r="36" ht="24" customHeight="1">
      <c r="A36" s="382" t="n">
        <v>29</v>
      </c>
      <c r="B36" s="383" t="inlineStr">
        <is>
          <t>火</t>
        </is>
      </c>
      <c r="C36" s="395" t="inlineStr">
        <is>
          <t>昭和の日</t>
        </is>
      </c>
      <c r="D36" s="343" t="inlineStr">
        <is>
          <t>9:00～16:00</t>
        </is>
      </c>
      <c r="E36" s="374" t="n"/>
      <c r="F36" s="310" t="n"/>
      <c r="G36" s="310" t="n"/>
    </row>
    <row r="37" ht="24" customHeight="1" thickBot="1">
      <c r="A37" s="385" t="n">
        <v>30</v>
      </c>
      <c r="B37" s="386" t="inlineStr">
        <is>
          <t>水</t>
        </is>
      </c>
      <c r="C37" s="404" t="inlineStr">
        <is>
          <t>心電図・心臓検診　　1年50×４、2・3年50×2　　学年懇談会</t>
        </is>
      </c>
      <c r="D37" s="377" t="inlineStr">
        <is>
          <t>～18:00</t>
        </is>
      </c>
      <c r="E37" s="375" t="n"/>
      <c r="F37" s="310" t="n"/>
      <c r="G37" s="310" t="n"/>
    </row>
    <row r="38" ht="24" customHeight="1" thickBot="1">
      <c r="A38" s="342" t="n"/>
      <c r="B38" s="342" t="n"/>
      <c r="C38" s="331" t="n"/>
      <c r="D38" s="331" t="n"/>
      <c r="E38" s="331" t="n"/>
      <c r="F38" s="310" t="n"/>
      <c r="G38" s="310" t="n"/>
    </row>
    <row r="39" ht="126.75" customHeight="1" thickBot="1">
      <c r="A39" s="524" t="inlineStr">
        <is>
          <t>・新一年生の勧誘
・保護者会で演奏（5月3日）
・コンクールの曲を決める</t>
        </is>
      </c>
      <c r="B39" s="525" t="n"/>
      <c r="C39" s="525" t="n"/>
      <c r="D39" s="525" t="n"/>
      <c r="E39" s="526" t="n"/>
      <c r="F39" s="345" t="n"/>
      <c r="G39" s="345" t="n"/>
    </row>
  </sheetData>
  <mergeCells count="8">
    <mergeCell ref="A39:E39"/>
    <mergeCell ref="A4:C4"/>
    <mergeCell ref="A1:C1"/>
    <mergeCell ref="A5:C5"/>
    <mergeCell ref="A7:E7"/>
    <mergeCell ref="A3:C3"/>
    <mergeCell ref="A6:E6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5" horizontalDpi="4294967294"/>
</worksheet>
</file>

<file path=xl/worksheets/sheet14.xml><?xml version="1.0" encoding="utf-8"?>
<worksheet xmlns="http://schemas.openxmlformats.org/spreadsheetml/2006/main">
  <sheetPr codeName="Sheet13">
    <outlinePr summaryBelow="1" summaryRight="1"/>
    <pageSetUpPr fitToPage="1"/>
  </sheetPr>
  <dimension ref="A1:I39"/>
  <sheetViews>
    <sheetView view="pageBreakPreview" zoomScaleNormal="100" zoomScaleSheetLayoutView="100" workbookViewId="0">
      <selection activeCell="C30" sqref="C30"/>
    </sheetView>
  </sheetViews>
  <sheetFormatPr baseColWidth="8" defaultColWidth="9" defaultRowHeight="13.2"/>
  <cols>
    <col width="4.44140625" customWidth="1" style="1" min="1" max="1"/>
    <col width="4.88671875" customWidth="1" style="1" min="2" max="2"/>
    <col width="82.44140625" bestFit="1" customWidth="1" style="1" min="3" max="3"/>
    <col width="9" customWidth="1" style="1" min="4" max="16384"/>
  </cols>
  <sheetData>
    <row r="1" ht="27.75" customHeight="1">
      <c r="A1" s="484" t="inlineStr">
        <is>
          <t>【１２月　行事予定】　１学年・２学年・３学年・管理G・進路G・生徒会G・生活G・入選G</t>
        </is>
      </c>
      <c r="E1" s="2" t="inlineStr">
        <is>
          <t>加筆・修正は朱書きで、３月７日（火）１５時までにお願いします。</t>
        </is>
      </c>
    </row>
    <row r="2" ht="23.25" customHeight="1" thickBot="1">
      <c r="A2" s="484" t="inlineStr">
        <is>
          <t>加筆・修正は朱書きで、１０月２１日（月）１７時までにお願いします。</t>
        </is>
      </c>
      <c r="E2" s="3" t="inlineStr">
        <is>
          <t>企画会議資料　　5月１２日（木）</t>
        </is>
      </c>
    </row>
    <row r="3" ht="18.75" customHeight="1">
      <c r="A3" s="485" t="n"/>
      <c r="B3" s="523" t="n"/>
      <c r="C3" s="537" t="n"/>
      <c r="E3" s="2" t="inlineStr">
        <is>
          <t>加筆・修正は朱書きで、３月７日（火）１５時までにお願いします。</t>
        </is>
      </c>
    </row>
    <row r="4" ht="18.75" customHeight="1">
      <c r="A4" s="488" t="n"/>
      <c r="C4" s="538" t="n"/>
      <c r="E4" s="3" t="inlineStr">
        <is>
          <t>企画会議資料　　5月１２日（木）</t>
        </is>
      </c>
    </row>
    <row r="5" ht="18.75" customHeight="1">
      <c r="A5" s="488" t="n"/>
      <c r="C5" s="538" t="n"/>
      <c r="E5" s="3" t="n"/>
    </row>
    <row r="6" ht="18.75" customHeight="1">
      <c r="A6" s="539" t="inlineStr">
        <is>
          <t>学務開発Ｇ</t>
        </is>
      </c>
      <c r="B6" s="540" t="n"/>
      <c r="C6" s="541" t="n"/>
      <c r="E6" s="4" t="inlineStr">
        <is>
          <t>企画会議資料　　１０月１３日（木）</t>
        </is>
      </c>
      <c r="F6" s="8" t="n"/>
    </row>
    <row r="7" ht="18.75" customHeight="1">
      <c r="A7" s="542" t="inlineStr">
        <is>
          <t>２０１９年度　１２月（生徒用）　行事予定</t>
        </is>
      </c>
      <c r="B7" s="543" t="n"/>
      <c r="C7" s="544" t="n"/>
      <c r="D7" s="472" t="n"/>
      <c r="E7" s="1" t="inlineStr">
        <is>
          <t>←ヒラギノ角ゴPro W3 13Bold</t>
        </is>
      </c>
      <c r="I7" s="3" t="inlineStr">
        <is>
          <t>企画会議（稟議）資料</t>
        </is>
      </c>
    </row>
    <row r="8" ht="18.75" customHeight="1">
      <c r="A8" s="36" t="n">
        <v>1</v>
      </c>
      <c r="B8" s="11" t="inlineStr">
        <is>
          <t>日</t>
        </is>
      </c>
      <c r="C8" s="52" t="n"/>
      <c r="E8" s="1" t="inlineStr">
        <is>
          <t>１行  15.75</t>
        </is>
      </c>
    </row>
    <row r="9" ht="18.75" customHeight="1">
      <c r="A9" s="34" t="n">
        <v>2</v>
      </c>
      <c r="B9" s="10" t="inlineStr">
        <is>
          <t>月</t>
        </is>
      </c>
      <c r="C9" s="53" t="inlineStr">
        <is>
          <t>４０分授業①②③⑤⑥⑦　あいさつ運動（1年）</t>
        </is>
      </c>
      <c r="E9" s="1" t="inlineStr">
        <is>
          <t>MSPゴシック１２　日・曜日・行事</t>
        </is>
      </c>
    </row>
    <row r="10" ht="18.75" customHeight="1">
      <c r="A10" s="34" t="n">
        <v>3</v>
      </c>
      <c r="B10" s="10" t="inlineStr">
        <is>
          <t>火</t>
        </is>
      </c>
      <c r="C10" s="54" t="inlineStr">
        <is>
          <t xml:space="preserve">期末試験　服装頭髪検査　　　　　　　　　　　　　　　　　　　　　　　　　　　　 </t>
        </is>
      </c>
    </row>
    <row r="11" ht="18.75" customHeight="1">
      <c r="A11" s="34" t="n">
        <v>4</v>
      </c>
      <c r="B11" s="10" t="inlineStr">
        <is>
          <t>水</t>
        </is>
      </c>
      <c r="C11" s="54" t="inlineStr">
        <is>
          <t xml:space="preserve">期末試験　服装頭髪検査　　　　　　　　　　　　　　　　　　　　　　　　　　　　 </t>
        </is>
      </c>
    </row>
    <row r="12" ht="18.75" customHeight="1">
      <c r="A12" s="32" t="n">
        <v>5</v>
      </c>
      <c r="B12" s="10" t="inlineStr">
        <is>
          <t>木</t>
        </is>
      </c>
      <c r="C12" s="54" t="inlineStr">
        <is>
          <t>期末試験　服装頭髪検査　　第3回大学入試センター説明会</t>
        </is>
      </c>
      <c r="E12" s="6" t="n"/>
    </row>
    <row r="13" ht="18.75" customHeight="1">
      <c r="A13" s="32" t="n">
        <v>6</v>
      </c>
      <c r="B13" s="10" t="inlineStr">
        <is>
          <t>金</t>
        </is>
      </c>
      <c r="C13" s="54" t="inlineStr">
        <is>
          <t>期末試験　服装頭髪検査　　第3回大学入試センター説明会　　喫食訓練</t>
        </is>
      </c>
      <c r="E13" s="7" t="inlineStr">
        <is>
          <t>筬島　勇貴</t>
        </is>
      </c>
    </row>
    <row r="14" ht="18.75" customHeight="1">
      <c r="A14" s="35" t="n">
        <v>7</v>
      </c>
      <c r="B14" s="11" t="inlineStr">
        <is>
          <t>土</t>
        </is>
      </c>
      <c r="C14" s="55" t="n"/>
      <c r="E14" s="7" t="inlineStr">
        <is>
          <t>篠崎　倫也</t>
        </is>
      </c>
      <c r="F14" s="1" t="inlineStr">
        <is>
          <t>→角田</t>
        </is>
      </c>
    </row>
    <row r="15" ht="18.75" customHeight="1">
      <c r="A15" s="35" t="n">
        <v>8</v>
      </c>
      <c r="B15" s="11" t="inlineStr">
        <is>
          <t>日</t>
        </is>
      </c>
      <c r="C15" s="56" t="n"/>
      <c r="E15" s="7" t="inlineStr">
        <is>
          <t>市岡　裕次</t>
        </is>
      </c>
    </row>
    <row r="16" ht="18.75" customHeight="1">
      <c r="A16" s="57" t="n">
        <v>9</v>
      </c>
      <c r="B16" s="10" t="inlineStr">
        <is>
          <t>月</t>
        </is>
      </c>
      <c r="C16" s="53" t="inlineStr">
        <is>
          <t>特別時間割　４０分×５　　進路決定者指導（3年）</t>
        </is>
      </c>
    </row>
    <row r="17" ht="18.75" customHeight="1">
      <c r="A17" s="34" t="n">
        <v>10</v>
      </c>
      <c r="B17" s="10" t="inlineStr">
        <is>
          <t>火</t>
        </is>
      </c>
      <c r="C17" s="53" t="inlineStr">
        <is>
          <t>特別時間割　４０分×５</t>
        </is>
      </c>
    </row>
    <row r="18" ht="18.75" customHeight="1">
      <c r="A18" s="34" t="n">
        <v>11</v>
      </c>
      <c r="B18" s="10" t="inlineStr">
        <is>
          <t>水</t>
        </is>
      </c>
      <c r="C18" s="53" t="inlineStr">
        <is>
          <t>特別時間割　４０分×５　　ＳＣ来校日</t>
        </is>
      </c>
    </row>
    <row r="19" ht="18.75" customHeight="1">
      <c r="A19" s="32" t="n">
        <v>12</v>
      </c>
      <c r="B19" s="10" t="inlineStr">
        <is>
          <t>木</t>
        </is>
      </c>
      <c r="C19" s="31" t="inlineStr">
        <is>
          <t>４０分授業①②④⑤⑥（３年①②④⑤）　　④素点・欠時票配布</t>
        </is>
      </c>
    </row>
    <row r="20" ht="18.75" customHeight="1">
      <c r="A20" s="32" t="n">
        <v>13</v>
      </c>
      <c r="B20" s="10" t="inlineStr">
        <is>
          <t>金</t>
        </is>
      </c>
      <c r="C20" s="53" t="inlineStr">
        <is>
          <t xml:space="preserve">４０分授業 月①②③⑥⑤（３年 月①②③⑥）   </t>
        </is>
      </c>
    </row>
    <row r="21" ht="18.75" customHeight="1">
      <c r="A21" s="33" t="n">
        <v>14</v>
      </c>
      <c r="B21" s="11" t="inlineStr">
        <is>
          <t>土</t>
        </is>
      </c>
      <c r="C21" s="55" t="n"/>
    </row>
    <row r="22" ht="18.75" customHeight="1">
      <c r="A22" s="33" t="n">
        <v>15</v>
      </c>
      <c r="B22" s="11" t="inlineStr">
        <is>
          <t>日</t>
        </is>
      </c>
      <c r="C22" s="58" t="n"/>
    </row>
    <row r="23" ht="18.75" customHeight="1">
      <c r="A23" s="34" t="n">
        <v>16</v>
      </c>
      <c r="B23" s="10" t="inlineStr">
        <is>
          <t>月</t>
        </is>
      </c>
      <c r="C23" s="53" t="inlineStr">
        <is>
          <t xml:space="preserve">４０分授業②③④⑤⑦（３年②③④⑤）　　④eポートフォリオ説明会（1年：体育館）　</t>
        </is>
      </c>
    </row>
    <row r="24" ht="18.75" customHeight="1">
      <c r="A24" s="34" t="n">
        <v>17</v>
      </c>
      <c r="B24" s="10" t="inlineStr">
        <is>
          <t>火</t>
        </is>
      </c>
      <c r="C24" s="53" t="inlineStr">
        <is>
          <t>４０分授業①③④木④木④  　いのちの授業</t>
        </is>
      </c>
    </row>
    <row r="25" ht="18.75" customHeight="1">
      <c r="A25" s="34" t="n">
        <v>18</v>
      </c>
      <c r="B25" s="10" t="inlineStr">
        <is>
          <t>水</t>
        </is>
      </c>
      <c r="C25" s="53" t="inlineStr">
        <is>
          <t xml:space="preserve">４０分授業①②③⑤⑥（３年①②③⑤）　</t>
        </is>
      </c>
    </row>
    <row r="26" ht="18.75" customHeight="1">
      <c r="A26" s="32" t="n">
        <v>19</v>
      </c>
      <c r="B26" s="10" t="inlineStr">
        <is>
          <t>木</t>
        </is>
      </c>
      <c r="C26" s="38" t="inlineStr">
        <is>
          <t>４０分授業 １年①②③④④　④④性感染症予防講演会（1年：体育館）　２年①②③④⑤　３年①②③④</t>
        </is>
      </c>
    </row>
    <row r="27" ht="18.75" customHeight="1">
      <c r="A27" s="32" t="n">
        <v>20</v>
      </c>
      <c r="B27" s="10" t="inlineStr">
        <is>
          <t>金</t>
        </is>
      </c>
      <c r="C27" s="60" t="inlineStr">
        <is>
          <t xml:space="preserve">４０分授業①②③木④木④　　国際理解教育（予定）　遅刻ゼロの日 </t>
        </is>
      </c>
    </row>
    <row r="28" ht="18.75" customHeight="1">
      <c r="A28" s="33" t="n">
        <v>21</v>
      </c>
      <c r="B28" s="11" t="inlineStr">
        <is>
          <t>土</t>
        </is>
      </c>
      <c r="C28" s="59" t="n"/>
    </row>
    <row r="29" ht="18.75" customHeight="1">
      <c r="A29" s="33" t="n">
        <v>22</v>
      </c>
      <c r="B29" s="11" t="inlineStr">
        <is>
          <t>日</t>
        </is>
      </c>
      <c r="C29" s="30" t="n"/>
    </row>
    <row r="30" ht="18.75" customHeight="1">
      <c r="A30" s="32" t="n">
        <v>23</v>
      </c>
      <c r="B30" s="10" t="inlineStr">
        <is>
          <t>月</t>
        </is>
      </c>
      <c r="C30" s="60" t="inlineStr">
        <is>
          <t xml:space="preserve">５５分授業 1年・３年①②⑥　２年 学力調査　　</t>
        </is>
      </c>
    </row>
    <row r="31" ht="18.75" customHeight="1">
      <c r="A31" s="34" t="n">
        <v>24</v>
      </c>
      <c r="B31" s="10" t="inlineStr">
        <is>
          <t>火</t>
        </is>
      </c>
      <c r="C31" s="61" t="inlineStr">
        <is>
          <t xml:space="preserve">４０分授業①②　大掃除・終業式・ＬＨＲ　</t>
        </is>
      </c>
    </row>
    <row r="32" ht="18.75" customHeight="1">
      <c r="A32" s="62" t="n">
        <v>25</v>
      </c>
      <c r="B32" s="40" t="inlineStr">
        <is>
          <t>水</t>
        </is>
      </c>
      <c r="C32" s="63" t="inlineStr">
        <is>
          <t>冬季休業開始</t>
        </is>
      </c>
    </row>
    <row r="33" ht="18.75" customHeight="1">
      <c r="A33" s="64" t="n">
        <v>26</v>
      </c>
      <c r="B33" s="40" t="inlineStr">
        <is>
          <t>木</t>
        </is>
      </c>
      <c r="C33" s="65" t="n"/>
    </row>
    <row r="34" ht="18.75" customHeight="1">
      <c r="A34" s="64" t="n">
        <v>27</v>
      </c>
      <c r="B34" s="40" t="inlineStr">
        <is>
          <t>金</t>
        </is>
      </c>
      <c r="C34" s="65" t="n"/>
    </row>
    <row r="35" ht="18.75" customHeight="1">
      <c r="A35" s="33" t="n">
        <v>28</v>
      </c>
      <c r="B35" s="11" t="inlineStr">
        <is>
          <t>土</t>
        </is>
      </c>
      <c r="C35" s="66" t="n"/>
    </row>
    <row r="36" ht="18.75" customHeight="1">
      <c r="A36" s="67" t="n">
        <v>29</v>
      </c>
      <c r="B36" s="68" t="inlineStr">
        <is>
          <t>日</t>
        </is>
      </c>
      <c r="C36" s="69" t="n"/>
    </row>
    <row r="37" ht="18.75" customHeight="1">
      <c r="A37" s="70" t="n">
        <v>30</v>
      </c>
      <c r="B37" s="71" t="inlineStr">
        <is>
          <t>月</t>
        </is>
      </c>
      <c r="C37" s="72" t="n"/>
    </row>
    <row r="38" ht="18.75" customHeight="1">
      <c r="A38" s="70" t="n">
        <v>31</v>
      </c>
      <c r="B38" s="68" t="inlineStr">
        <is>
          <t>火</t>
        </is>
      </c>
      <c r="C38" s="73" t="n"/>
    </row>
    <row r="39" ht="99.75" customHeight="1" thickBot="1">
      <c r="A39" s="545" t="inlineStr">
        <is>
          <t xml:space="preserve">私大センター利用説明会
同窓会説明会（3年）
　　　　　　　　　　　　　　　　　</t>
        </is>
      </c>
      <c r="B39" s="522" t="n"/>
      <c r="C39" s="546" t="n"/>
    </row>
  </sheetData>
  <mergeCells count="8">
    <mergeCell ref="A1:C1"/>
    <mergeCell ref="A5:C5"/>
    <mergeCell ref="A6:C6"/>
    <mergeCell ref="A3:C3"/>
    <mergeCell ref="A7:C7"/>
    <mergeCell ref="A39:C39"/>
    <mergeCell ref="A4:C4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97"/>
</worksheet>
</file>

<file path=xl/worksheets/sheet15.xml><?xml version="1.0" encoding="utf-8"?>
<worksheet xmlns="http://schemas.openxmlformats.org/spreadsheetml/2006/main">
  <sheetPr codeName="Sheet14">
    <outlinePr summaryBelow="1" summaryRight="1"/>
    <pageSetUpPr fitToPage="1"/>
  </sheetPr>
  <dimension ref="A1:R39"/>
  <sheetViews>
    <sheetView view="pageBreakPreview" zoomScale="85" zoomScaleNormal="100" zoomScaleSheetLayoutView="85" workbookViewId="0">
      <selection activeCell="C36" sqref="C36"/>
    </sheetView>
  </sheetViews>
  <sheetFormatPr baseColWidth="8" defaultColWidth="9" defaultRowHeight="13.2"/>
  <cols>
    <col width="4.44140625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536" t="inlineStr">
        <is>
          <t>2024年度　10月　吹奏楽部活動予定</t>
        </is>
      </c>
      <c r="B7" s="525" t="n"/>
      <c r="C7" s="525" t="n"/>
      <c r="D7" s="525" t="n"/>
      <c r="E7" s="526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332" t="n">
        <v>1</v>
      </c>
      <c r="B8" s="332" t="inlineStr">
        <is>
          <t>火</t>
        </is>
      </c>
      <c r="C8" s="331" t="inlineStr">
        <is>
          <t xml:space="preserve">第2回推薦会議　</t>
        </is>
      </c>
      <c r="D8" s="337" t="inlineStr">
        <is>
          <t>～18:00</t>
        </is>
      </c>
      <c r="E8" s="337" t="n"/>
      <c r="F8" s="310" t="inlineStr">
        <is>
          <t>１行  15.75</t>
        </is>
      </c>
      <c r="G8" s="310" t="n"/>
    </row>
    <row r="9" ht="24" customHeight="1">
      <c r="A9" s="332" t="n">
        <v>2</v>
      </c>
      <c r="B9" s="332" t="inlineStr">
        <is>
          <t>水</t>
        </is>
      </c>
      <c r="C9" s="331" t="n"/>
      <c r="D9" s="337" t="inlineStr">
        <is>
          <t>～18:00</t>
        </is>
      </c>
      <c r="E9" s="337" t="n"/>
      <c r="F9" s="310" t="inlineStr">
        <is>
          <t>MSPゴシック１２　日・曜日・行事</t>
        </is>
      </c>
      <c r="G9" s="310" t="n"/>
    </row>
    <row r="10" ht="24" customHeight="1">
      <c r="A10" s="332" t="n">
        <v>3</v>
      </c>
      <c r="B10" s="332" t="inlineStr">
        <is>
          <t>木</t>
        </is>
      </c>
      <c r="C10" s="331" t="inlineStr">
        <is>
          <t>④立会演説会・投票（ＬＨＲ）、開票</t>
        </is>
      </c>
      <c r="D10" s="337" t="inlineStr">
        <is>
          <t>～18:00</t>
        </is>
      </c>
      <c r="E10" s="337" t="n"/>
      <c r="F10" s="310" t="n"/>
      <c r="G10" s="310" t="n"/>
    </row>
    <row r="11" ht="24" customHeight="1">
      <c r="A11" s="332" t="n">
        <v>4</v>
      </c>
      <c r="B11" s="332" t="inlineStr">
        <is>
          <t>金</t>
        </is>
      </c>
      <c r="C11" s="331" t="n"/>
      <c r="D11" s="337" t="inlineStr">
        <is>
          <t>～18:00</t>
        </is>
      </c>
      <c r="E11" s="337" t="n"/>
      <c r="F11" s="310" t="n"/>
      <c r="G11" s="310" t="n"/>
    </row>
    <row r="12" ht="24" customHeight="1">
      <c r="A12" s="333" t="n">
        <v>5</v>
      </c>
      <c r="B12" s="333" t="inlineStr">
        <is>
          <t>土</t>
        </is>
      </c>
      <c r="C12" s="335" t="n"/>
      <c r="D12" s="336" t="inlineStr">
        <is>
          <t>9:00～16:00</t>
        </is>
      </c>
      <c r="E12" s="336" t="n"/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333" t="n">
        <v>6</v>
      </c>
      <c r="B13" s="333" t="inlineStr">
        <is>
          <t>日</t>
        </is>
      </c>
      <c r="C13" s="335" t="n"/>
      <c r="D13" s="336" t="inlineStr">
        <is>
          <t>休み</t>
        </is>
      </c>
      <c r="E13" s="336" t="n"/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332" t="n">
        <v>7</v>
      </c>
      <c r="B14" s="332" t="inlineStr">
        <is>
          <t>月</t>
        </is>
      </c>
      <c r="C14" s="331" t="inlineStr">
        <is>
          <t>④外部模試振り返り（2年体育館）</t>
        </is>
      </c>
      <c r="D14" s="337" t="inlineStr">
        <is>
          <t>休み</t>
        </is>
      </c>
      <c r="E14" s="337" t="n"/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332" t="n">
        <v>8</v>
      </c>
      <c r="B15" s="332" t="inlineStr">
        <is>
          <t>火</t>
        </is>
      </c>
      <c r="C15" s="331" t="n"/>
      <c r="D15" s="337" t="inlineStr">
        <is>
          <t>休み</t>
        </is>
      </c>
      <c r="E15" s="337" t="n"/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332" t="n">
        <v>9</v>
      </c>
      <c r="B16" s="332" t="inlineStr">
        <is>
          <t>水</t>
        </is>
      </c>
      <c r="C16" s="331" t="n"/>
      <c r="D16" s="337" t="inlineStr">
        <is>
          <t>休み</t>
        </is>
      </c>
      <c r="E16" s="337" t="n"/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332" t="n">
        <v>10</v>
      </c>
      <c r="B17" s="332" t="inlineStr">
        <is>
          <t>木</t>
        </is>
      </c>
      <c r="C17" s="331" t="inlineStr">
        <is>
          <t>産業医来校　　衛生委員会</t>
        </is>
      </c>
      <c r="D17" s="337" t="inlineStr">
        <is>
          <t>休み</t>
        </is>
      </c>
      <c r="E17" s="337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332" t="n">
        <v>11</v>
      </c>
      <c r="B18" s="332" t="inlineStr">
        <is>
          <t>金</t>
        </is>
      </c>
      <c r="C18" s="331" t="n"/>
      <c r="D18" s="337" t="inlineStr">
        <is>
          <t>～18:00</t>
        </is>
      </c>
      <c r="E18" s="337" t="n"/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333" t="n">
        <v>12</v>
      </c>
      <c r="B19" s="333" t="inlineStr">
        <is>
          <t>土</t>
        </is>
      </c>
      <c r="C19" s="335" t="n"/>
      <c r="D19" s="336" t="inlineStr">
        <is>
          <t>本番</t>
        </is>
      </c>
      <c r="E19" s="336" t="inlineStr">
        <is>
          <t>ハートフルコンサート</t>
        </is>
      </c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333" t="n">
        <v>13</v>
      </c>
      <c r="B20" s="333" t="inlineStr">
        <is>
          <t>日</t>
        </is>
      </c>
      <c r="C20" s="335" t="n"/>
      <c r="D20" s="336" t="inlineStr">
        <is>
          <t>休み</t>
        </is>
      </c>
      <c r="E20" s="336" t="n"/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333" t="n">
        <v>14</v>
      </c>
      <c r="B21" s="333" t="inlineStr">
        <is>
          <t>月</t>
        </is>
      </c>
      <c r="C21" s="335" t="inlineStr">
        <is>
          <t>スポーツの日</t>
        </is>
      </c>
      <c r="D21" s="336" t="inlineStr">
        <is>
          <t>休み</t>
        </is>
      </c>
      <c r="E21" s="336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332" t="n">
        <v>15</v>
      </c>
      <c r="B22" s="332" t="inlineStr">
        <is>
          <t>火</t>
        </is>
      </c>
      <c r="C22" s="334" t="n"/>
      <c r="D22" s="337" t="inlineStr">
        <is>
          <t>休み</t>
        </is>
      </c>
      <c r="E22" s="337" t="n"/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332" t="n">
        <v>16</v>
      </c>
      <c r="B23" s="332" t="inlineStr">
        <is>
          <t>水</t>
        </is>
      </c>
      <c r="C23" s="334" t="inlineStr">
        <is>
          <t>中間テスト　服装・頭髪検査（テスト期間）</t>
        </is>
      </c>
      <c r="D23" s="337" t="inlineStr">
        <is>
          <t>休み</t>
        </is>
      </c>
      <c r="E23" s="337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332" t="n">
        <v>17</v>
      </c>
      <c r="B24" s="332" t="inlineStr">
        <is>
          <t>木</t>
        </is>
      </c>
      <c r="C24" s="331" t="inlineStr">
        <is>
          <t>中間テスト　1・2年 喫食訓練</t>
        </is>
      </c>
      <c r="D24" s="337" t="inlineStr">
        <is>
          <t>～17:00</t>
        </is>
      </c>
      <c r="E24" s="337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332" t="n">
        <v>18</v>
      </c>
      <c r="B25" s="332" t="inlineStr">
        <is>
          <t>金</t>
        </is>
      </c>
      <c r="C25" s="331" t="n"/>
      <c r="D25" s="337" t="inlineStr">
        <is>
          <t>～18:00</t>
        </is>
      </c>
      <c r="E25" s="337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333" t="n">
        <v>19</v>
      </c>
      <c r="B26" s="333" t="inlineStr">
        <is>
          <t>土</t>
        </is>
      </c>
      <c r="C26" s="335" t="n"/>
      <c r="D26" s="336" t="inlineStr">
        <is>
          <t>本番</t>
        </is>
      </c>
      <c r="E26" s="336" t="inlineStr">
        <is>
          <t>多摩区民祭</t>
        </is>
      </c>
      <c r="F26" s="310" t="n"/>
      <c r="G26" s="310" t="n"/>
    </row>
    <row r="27" ht="24" customHeight="1">
      <c r="A27" s="333" t="n">
        <v>20</v>
      </c>
      <c r="B27" s="333" t="inlineStr">
        <is>
          <t>日</t>
        </is>
      </c>
      <c r="C27" s="335" t="n"/>
      <c r="D27" s="336" t="inlineStr">
        <is>
          <t>休み</t>
        </is>
      </c>
      <c r="E27" s="336" t="n"/>
      <c r="F27" s="310" t="n"/>
      <c r="G27" s="310" t="n"/>
    </row>
    <row r="28" ht="24" customHeight="1">
      <c r="A28" s="332" t="n">
        <v>21</v>
      </c>
      <c r="B28" s="332" t="inlineStr">
        <is>
          <t>月</t>
        </is>
      </c>
      <c r="C28" s="331" t="inlineStr">
        <is>
          <t>④外部模試振り返り（1年体育館）</t>
        </is>
      </c>
      <c r="D28" s="337" t="inlineStr">
        <is>
          <t>休み</t>
        </is>
      </c>
      <c r="E28" s="337" t="n"/>
      <c r="F28" s="310" t="n"/>
      <c r="G28" s="310" t="n"/>
    </row>
    <row r="29" ht="24" customHeight="1">
      <c r="A29" s="332" t="n">
        <v>22</v>
      </c>
      <c r="B29" s="332" t="inlineStr">
        <is>
          <t>火</t>
        </is>
      </c>
      <c r="C29" s="331" t="n"/>
      <c r="D29" s="337" t="inlineStr">
        <is>
          <t>～18:00</t>
        </is>
      </c>
      <c r="E29" s="337" t="n"/>
      <c r="F29" s="310" t="n"/>
      <c r="G29" s="310" t="n"/>
    </row>
    <row r="30" ht="24" customHeight="1">
      <c r="A30" s="332" t="n">
        <v>23</v>
      </c>
      <c r="B30" s="332" t="inlineStr">
        <is>
          <t>水</t>
        </is>
      </c>
      <c r="C30" s="331" t="n"/>
      <c r="D30" s="337" t="inlineStr">
        <is>
          <t>～18:00</t>
        </is>
      </c>
      <c r="E30" s="337" t="n"/>
      <c r="F30" s="310" t="n"/>
      <c r="G30" s="310" t="n"/>
    </row>
    <row r="31" ht="24" customHeight="1">
      <c r="A31" s="332" t="n">
        <v>24</v>
      </c>
      <c r="B31" s="332" t="inlineStr">
        <is>
          <t>木</t>
        </is>
      </c>
      <c r="C31" s="334" t="inlineStr">
        <is>
          <t>職員会議</t>
        </is>
      </c>
      <c r="D31" s="337" t="inlineStr">
        <is>
          <t>～18:00</t>
        </is>
      </c>
      <c r="E31" s="337" t="n"/>
      <c r="F31" s="310" t="n"/>
      <c r="G31" s="310" t="n"/>
    </row>
    <row r="32" ht="24" customHeight="1">
      <c r="A32" s="332" t="n">
        <v>25</v>
      </c>
      <c r="B32" s="332" t="inlineStr">
        <is>
          <t>金</t>
        </is>
      </c>
      <c r="C32" s="334" t="inlineStr">
        <is>
          <t>遅刻ゼロの日
素点入力締切</t>
        </is>
      </c>
      <c r="D32" s="337" t="inlineStr">
        <is>
          <t>～18:00</t>
        </is>
      </c>
      <c r="E32" s="337" t="n"/>
      <c r="F32" s="310" t="n"/>
      <c r="G32" s="310" t="n"/>
    </row>
    <row r="33" ht="24" customHeight="1">
      <c r="A33" s="333" t="n">
        <v>26</v>
      </c>
      <c r="B33" s="333" t="inlineStr">
        <is>
          <t>土</t>
        </is>
      </c>
      <c r="C33" s="335" t="n"/>
      <c r="D33" s="336" t="inlineStr">
        <is>
          <t>9:00～16:00</t>
        </is>
      </c>
      <c r="E33" s="336" t="n"/>
      <c r="F33" s="310" t="n"/>
      <c r="G33" s="310" t="n"/>
    </row>
    <row r="34" ht="24" customHeight="1">
      <c r="A34" s="333" t="n">
        <v>27</v>
      </c>
      <c r="B34" s="333" t="inlineStr">
        <is>
          <t>日</t>
        </is>
      </c>
      <c r="C34" s="335" t="n"/>
      <c r="D34" s="336" t="inlineStr">
        <is>
          <t>休み</t>
        </is>
      </c>
      <c r="E34" s="336" t="n"/>
      <c r="F34" s="310" t="n"/>
      <c r="G34" s="310" t="n"/>
    </row>
    <row r="35" ht="24" customHeight="1">
      <c r="A35" s="332" t="n">
        <v>28</v>
      </c>
      <c r="B35" s="332" t="inlineStr">
        <is>
          <t>月</t>
        </is>
      </c>
      <c r="C35" s="331" t="inlineStr">
        <is>
          <t>⑤⑥修学旅行事前指導（2年）</t>
        </is>
      </c>
      <c r="D35" s="337" t="inlineStr">
        <is>
          <t>休み</t>
        </is>
      </c>
      <c r="E35" s="337" t="n"/>
      <c r="F35" s="310" t="n"/>
      <c r="G35" s="310" t="n"/>
    </row>
    <row r="36" ht="24" customHeight="1">
      <c r="A36" s="332" t="n">
        <v>29</v>
      </c>
      <c r="B36" s="332" t="inlineStr">
        <is>
          <t>火</t>
        </is>
      </c>
      <c r="C36" s="331" t="inlineStr">
        <is>
          <t>2年修学旅行　特別時間割</t>
        </is>
      </c>
      <c r="D36" s="337" t="inlineStr">
        <is>
          <t>～16:00</t>
        </is>
      </c>
      <c r="E36" s="337" t="inlineStr">
        <is>
          <t>一年生のみ</t>
        </is>
      </c>
      <c r="F36" s="310" t="n"/>
      <c r="G36" s="310" t="n"/>
    </row>
    <row r="37" ht="24" customHeight="1">
      <c r="A37" s="332" t="n">
        <v>30</v>
      </c>
      <c r="B37" s="332" t="inlineStr">
        <is>
          <t>水</t>
        </is>
      </c>
      <c r="C37" s="331" t="inlineStr">
        <is>
          <t>2年修学旅行　特別時間割</t>
        </is>
      </c>
      <c r="D37" s="337" t="inlineStr">
        <is>
          <t>～16:00</t>
        </is>
      </c>
      <c r="E37" s="337" t="inlineStr">
        <is>
          <t>一年生のみ</t>
        </is>
      </c>
      <c r="F37" s="310" t="n"/>
      <c r="G37" s="310" t="n"/>
    </row>
    <row r="38" ht="24" customHeight="1" thickBot="1">
      <c r="A38" s="332" t="n">
        <v>31</v>
      </c>
      <c r="B38" s="332" t="inlineStr">
        <is>
          <t>木</t>
        </is>
      </c>
      <c r="C38" s="334" t="inlineStr">
        <is>
          <t>2年修学旅行　特別時間割
④地域清掃３年</t>
        </is>
      </c>
      <c r="D38" s="337" t="inlineStr">
        <is>
          <t>～16:00</t>
        </is>
      </c>
      <c r="E38" s="337" t="inlineStr">
        <is>
          <t>一年生のみ</t>
        </is>
      </c>
      <c r="F38" s="310" t="n"/>
      <c r="G38" s="310" t="n"/>
    </row>
    <row r="39" ht="126.75" customHeight="1" thickBot="1" thickTop="1">
      <c r="A39" s="524" t="inlineStr">
        <is>
          <t>9/7・8文化祭
10/12千代ヶ丘小でハートフルコンサート
10/19生田緑地で多摩区民祭り
11/15麻生高校40周年記念式典で昭和音大と共演（3年生も一緒にやりましょう）
11/16アンサンブルコンテスト
12/26か12/27 高文連吹奏楽祭（相模女子大学グリーンホール）</t>
        </is>
      </c>
      <c r="B39" s="525" t="n"/>
      <c r="C39" s="525" t="n"/>
      <c r="D39" s="525" t="n"/>
      <c r="E39" s="526" t="n"/>
      <c r="F39" s="327" t="n"/>
      <c r="G39" s="313" t="n"/>
    </row>
  </sheetData>
  <mergeCells count="8">
    <mergeCell ref="A39:E39"/>
    <mergeCell ref="A1:C1"/>
    <mergeCell ref="A5:C5"/>
    <mergeCell ref="A7:E7"/>
    <mergeCell ref="A6:E6"/>
    <mergeCell ref="A3:C3"/>
    <mergeCell ref="A4:C4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5" horizontalDpi="4294967294"/>
</worksheet>
</file>

<file path=xl/worksheets/sheet16.xml><?xml version="1.0" encoding="utf-8"?>
<worksheet xmlns="http://schemas.openxmlformats.org/spreadsheetml/2006/main">
  <sheetPr codeName="Sheet15">
    <tabColor theme="5" tint="-0.249977111117893"/>
    <outlinePr summaryBelow="1" summaryRight="1"/>
    <pageSetUpPr/>
  </sheetPr>
  <dimension ref="B2:BG44"/>
  <sheetViews>
    <sheetView topLeftCell="AD1" zoomScale="80" zoomScaleNormal="80" zoomScaleSheetLayoutView="95" zoomScalePageLayoutView="90" workbookViewId="0">
      <selection activeCell="AJ19" sqref="AJ19"/>
    </sheetView>
  </sheetViews>
  <sheetFormatPr baseColWidth="8" defaultColWidth="8.88671875" defaultRowHeight="13.2"/>
  <cols>
    <col width="4.44140625" customWidth="1" style="74" min="1" max="1"/>
    <col width="12.109375" bestFit="1" customWidth="1" style="74" min="2" max="2"/>
    <col width="3.44140625" customWidth="1" style="74" min="3" max="4"/>
    <col width="2.5546875" customWidth="1" style="74" min="5" max="5"/>
    <col width="35" customWidth="1" style="74" min="6" max="6"/>
    <col width="4" bestFit="1" customWidth="1" style="74" min="7" max="7"/>
    <col width="3.44140625" customWidth="1" style="74" min="8" max="8"/>
    <col width="2.5546875" customWidth="1" style="74" min="9" max="9"/>
    <col width="35" customWidth="1" style="74" min="10" max="10"/>
    <col width="4" bestFit="1" customWidth="1" style="74" min="11" max="11"/>
    <col width="3.44140625" customWidth="1" style="74" min="12" max="12"/>
    <col width="2.5546875" customWidth="1" style="74" min="13" max="13"/>
    <col width="35" customWidth="1" style="235" min="14" max="14"/>
    <col width="4.109375" bestFit="1" customWidth="1" style="74" min="15" max="15"/>
    <col width="4" customWidth="1" style="74" min="16" max="17"/>
    <col width="2.5546875" customWidth="1" style="74" min="18" max="18"/>
    <col width="35" customWidth="1" style="237" min="19" max="19"/>
    <col width="4.44140625" bestFit="1" customWidth="1" style="74" min="20" max="20"/>
    <col width="4" customWidth="1" style="74" min="21" max="22"/>
    <col width="2.5546875" customWidth="1" style="74" min="23" max="23"/>
    <col width="35" customWidth="1" style="74" min="24" max="24"/>
    <col width="3.44140625" bestFit="1" customWidth="1" style="74" min="25" max="25"/>
    <col width="3.44140625" customWidth="1" style="74" min="26" max="26"/>
    <col width="2.5546875" customWidth="1" style="74" min="27" max="27"/>
    <col width="35" customWidth="1" style="74" min="28" max="28"/>
    <col width="3.44140625" bestFit="1" customWidth="1" style="74" min="29" max="29"/>
    <col width="3.44140625" customWidth="1" style="74" min="30" max="30"/>
    <col width="2.6640625" customWidth="1" style="74" min="31" max="31"/>
    <col width="35" customWidth="1" style="74" min="32" max="32"/>
    <col width="3.44140625" bestFit="1" customWidth="1" style="74" min="33" max="33"/>
    <col width="3.44140625" customWidth="1" style="74" min="34" max="34"/>
    <col width="2.6640625" customWidth="1" style="74" min="35" max="35"/>
    <col width="35" customWidth="1" style="74" min="36" max="36"/>
    <col width="3.44140625" bestFit="1" customWidth="1" style="74" min="37" max="37"/>
    <col width="3.44140625" customWidth="1" style="74" min="38" max="39"/>
    <col width="2.6640625" customWidth="1" style="74" min="40" max="40"/>
    <col width="35" customWidth="1" style="74" min="41" max="41"/>
    <col width="4" bestFit="1" customWidth="1" style="74" min="42" max="42"/>
    <col width="3.44140625" customWidth="1" style="74" min="43" max="44"/>
    <col width="2.6640625" customWidth="1" style="74" min="45" max="45"/>
    <col width="35" customWidth="1" style="74" min="46" max="46"/>
    <col width="4.109375" bestFit="1" customWidth="1" style="74" min="47" max="47"/>
    <col width="3.88671875" customWidth="1" style="74" min="48" max="48"/>
    <col width="2.6640625" customWidth="1" style="74" min="49" max="49"/>
    <col width="35" customWidth="1" style="74" min="50" max="50"/>
    <col width="4.109375" bestFit="1" customWidth="1" style="74" min="51" max="51"/>
    <col width="3.44140625" customWidth="1" style="74" min="52" max="53"/>
    <col width="2.6640625" customWidth="1" style="74" min="54" max="54"/>
    <col width="35" customWidth="1" style="74" min="55" max="55"/>
    <col width="11.6640625" customWidth="1" style="74" min="56" max="56"/>
    <col width="9" bestFit="1" customWidth="1" style="74" min="57" max="57"/>
    <col width="8.88671875" customWidth="1" style="74" min="58" max="16384"/>
  </cols>
  <sheetData>
    <row r="2" ht="23.1" customHeight="1" thickBot="1">
      <c r="F2" s="316" t="inlineStr">
        <is>
          <t xml:space="preserve">令和3年度　県立麻生高等学校　年間行事予定表（前期）　</t>
        </is>
      </c>
      <c r="G2" s="317" t="n"/>
      <c r="H2" s="317" t="n"/>
      <c r="I2" s="317" t="n"/>
      <c r="J2" s="75" t="n"/>
      <c r="K2" s="75" t="n"/>
      <c r="L2" s="75" t="n"/>
      <c r="M2" s="75" t="n"/>
      <c r="N2" s="76" t="n"/>
      <c r="O2" s="317" t="n"/>
      <c r="P2" s="317" t="n"/>
      <c r="Q2" s="317" t="n"/>
      <c r="S2" s="239">
        <f>TODAY()</f>
        <v/>
      </c>
      <c r="U2" s="253" t="inlineStr">
        <is>
          <t>share→★★R3年度年間行事予定 　記入用　初期調整済み→R3-4ここに入力！ 1/19(火)までに加筆・訂正お願いします</t>
        </is>
      </c>
      <c r="X2" s="77" t="n"/>
      <c r="Z2" s="78" t="n"/>
      <c r="AA2" s="318" t="n"/>
      <c r="AE2" s="319" t="inlineStr">
        <is>
          <t xml:space="preserve">令和3年度　県立麻生高等学校　年間行事予定表（後期） </t>
        </is>
      </c>
      <c r="AL2" s="79" t="n"/>
      <c r="AM2" s="80" t="n"/>
    </row>
    <row r="3" ht="23.1" customHeight="1" thickBot="1" thickTop="1">
      <c r="B3" s="547" t="n">
        <v>4</v>
      </c>
      <c r="C3" s="548" t="n"/>
      <c r="D3" s="548" t="n"/>
      <c r="E3" s="548" t="n"/>
      <c r="F3" s="549" t="n"/>
      <c r="G3" s="550" t="n">
        <v>5</v>
      </c>
      <c r="H3" s="548" t="n"/>
      <c r="I3" s="548" t="n"/>
      <c r="J3" s="549" t="n"/>
      <c r="K3" s="551" t="n">
        <v>6</v>
      </c>
      <c r="L3" s="522" t="n"/>
      <c r="M3" s="522" t="n"/>
      <c r="N3" s="552" t="n"/>
      <c r="O3" s="550" t="n">
        <v>7</v>
      </c>
      <c r="P3" s="548" t="n"/>
      <c r="Q3" s="548" t="n"/>
      <c r="R3" s="548" t="n"/>
      <c r="S3" s="549" t="n"/>
      <c r="T3" s="553" t="n">
        <v>8</v>
      </c>
      <c r="U3" s="548" t="n"/>
      <c r="V3" s="548" t="n"/>
      <c r="W3" s="548" t="n"/>
      <c r="X3" s="554" t="n"/>
      <c r="Y3" s="555" t="n">
        <v>9</v>
      </c>
      <c r="Z3" s="556" t="n"/>
      <c r="AA3" s="556" t="n"/>
      <c r="AB3" s="557" t="n"/>
      <c r="AC3" s="547" t="n">
        <v>10</v>
      </c>
      <c r="AD3" s="548" t="n"/>
      <c r="AE3" s="548" t="n"/>
      <c r="AF3" s="549" t="n"/>
      <c r="AG3" s="550" t="n">
        <v>11</v>
      </c>
      <c r="AH3" s="548" t="n"/>
      <c r="AI3" s="548" t="n"/>
      <c r="AJ3" s="549" t="n"/>
      <c r="AK3" s="550" t="n">
        <v>12</v>
      </c>
      <c r="AL3" s="548" t="n"/>
      <c r="AM3" s="548" t="n"/>
      <c r="AN3" s="548" t="n"/>
      <c r="AO3" s="549" t="n"/>
      <c r="AP3" s="550" t="n">
        <v>1</v>
      </c>
      <c r="AQ3" s="548" t="n"/>
      <c r="AR3" s="548" t="n"/>
      <c r="AS3" s="548" t="n"/>
      <c r="AT3" s="549" t="n"/>
      <c r="AU3" s="550" t="n">
        <v>2</v>
      </c>
      <c r="AV3" s="548" t="n"/>
      <c r="AW3" s="548" t="n"/>
      <c r="AX3" s="549" t="n"/>
      <c r="AY3" s="553" t="n">
        <v>3</v>
      </c>
      <c r="AZ3" s="548" t="n"/>
      <c r="BA3" s="548" t="n"/>
      <c r="BB3" s="548" t="n"/>
      <c r="BC3" s="554" t="n"/>
    </row>
    <row r="4" ht="25.5" customHeight="1">
      <c r="B4" s="81" t="n">
        <v>1</v>
      </c>
      <c r="C4" s="240" t="n"/>
      <c r="D4" s="82" t="inlineStr">
        <is>
          <t>〇</t>
        </is>
      </c>
      <c r="E4" s="83" t="inlineStr">
        <is>
          <t>木</t>
        </is>
      </c>
      <c r="F4" s="84" t="inlineStr">
        <is>
          <t xml:space="preserve">学年始休業開始　辞令交付式   企画会議（顔合わせ）　</t>
        </is>
      </c>
      <c r="G4" s="11" t="n">
        <v>1</v>
      </c>
      <c r="H4" s="9" t="n"/>
      <c r="I4" s="9" t="inlineStr">
        <is>
          <t>土</t>
        </is>
      </c>
      <c r="J4" s="254" t="inlineStr">
        <is>
          <t xml:space="preserve">開校記念日　</t>
        </is>
      </c>
      <c r="K4" s="37" t="n">
        <v>1</v>
      </c>
      <c r="L4" s="37" t="inlineStr">
        <is>
          <t>●</t>
        </is>
      </c>
      <c r="M4" s="37" t="inlineStr">
        <is>
          <t>火</t>
        </is>
      </c>
      <c r="N4" s="86" t="n"/>
      <c r="O4" s="87" t="n">
        <v>1</v>
      </c>
      <c r="P4" s="255" t="inlineStr">
        <is>
          <t>●</t>
        </is>
      </c>
      <c r="Q4" s="241" t="n"/>
      <c r="R4" s="85" t="inlineStr">
        <is>
          <t>木</t>
        </is>
      </c>
      <c r="S4" s="88" t="inlineStr">
        <is>
          <t>期末テスト</t>
        </is>
      </c>
      <c r="T4" s="89" t="n">
        <v>1</v>
      </c>
      <c r="U4" s="90" t="n"/>
      <c r="V4" s="90" t="inlineStr">
        <is>
          <t>〇</t>
        </is>
      </c>
      <c r="W4" s="90" t="inlineStr">
        <is>
          <t>日</t>
        </is>
      </c>
      <c r="X4" s="115" t="n"/>
      <c r="Y4" s="95" t="n">
        <v>1</v>
      </c>
      <c r="Z4" s="314" t="inlineStr">
        <is>
          <t>●</t>
        </is>
      </c>
      <c r="AA4" s="93" t="inlineStr">
        <is>
          <t>水</t>
        </is>
      </c>
      <c r="AB4" s="94" t="n"/>
      <c r="AC4" s="95" t="n">
        <v>1</v>
      </c>
      <c r="AD4" s="96" t="inlineStr">
        <is>
          <t>●</t>
        </is>
      </c>
      <c r="AE4" s="97" t="inlineStr">
        <is>
          <t>金</t>
        </is>
      </c>
      <c r="AF4" s="256" t="inlineStr">
        <is>
          <t>生徒会役員選挙活動期間（10/6まで）</t>
        </is>
      </c>
      <c r="AG4" s="97" t="n">
        <v>1</v>
      </c>
      <c r="AH4" s="97" t="inlineStr">
        <is>
          <t>●</t>
        </is>
      </c>
      <c r="AI4" s="97" t="inlineStr">
        <is>
          <t>月</t>
        </is>
      </c>
      <c r="AJ4" s="156" t="inlineStr">
        <is>
          <t>⑤⑥修学旅行事前指導（2年）
あいさつ運動・PTA私費中間監査</t>
        </is>
      </c>
      <c r="AK4" s="92" t="n">
        <v>1</v>
      </c>
      <c r="AL4" s="255" t="inlineStr">
        <is>
          <t>●</t>
        </is>
      </c>
      <c r="AM4" s="257" t="n"/>
      <c r="AN4" s="92" t="inlineStr">
        <is>
          <t>水</t>
        </is>
      </c>
      <c r="AO4" s="118" t="inlineStr">
        <is>
          <t>期末テスト　 服装頭髪検査</t>
        </is>
      </c>
      <c r="AP4" s="99" t="n">
        <v>1</v>
      </c>
      <c r="AQ4" s="99" t="n"/>
      <c r="AR4" s="99" t="inlineStr">
        <is>
          <t>〇</t>
        </is>
      </c>
      <c r="AS4" s="100" t="inlineStr">
        <is>
          <t>土</t>
        </is>
      </c>
      <c r="AT4" s="101" t="inlineStr">
        <is>
          <t>元日</t>
        </is>
      </c>
      <c r="AU4" s="102" t="n">
        <v>1</v>
      </c>
      <c r="AV4" s="103" t="inlineStr">
        <is>
          <t>●</t>
        </is>
      </c>
      <c r="AW4" s="37" t="inlineStr">
        <is>
          <t>火</t>
        </is>
      </c>
      <c r="AX4" s="104" t="inlineStr">
        <is>
          <t>３年自宅学習開始
データ点検・成績入力締切 45x6</t>
        </is>
      </c>
      <c r="AY4" s="103" t="n">
        <v>1</v>
      </c>
      <c r="AZ4" s="103" t="inlineStr">
        <is>
          <t>●</t>
        </is>
      </c>
      <c r="BA4" s="103" t="n"/>
      <c r="BB4" s="37" t="inlineStr">
        <is>
          <t>火</t>
        </is>
      </c>
      <c r="BC4" s="105" t="inlineStr">
        <is>
          <t>合格発表(仮)
卒業式準備・予行（PM）</t>
        </is>
      </c>
    </row>
    <row r="5" ht="25.5" customHeight="1">
      <c r="B5" s="81" t="n">
        <v>2</v>
      </c>
      <c r="C5" s="242" t="n"/>
      <c r="D5" s="82" t="inlineStr">
        <is>
          <t>〇</t>
        </is>
      </c>
      <c r="E5" s="83" t="inlineStr">
        <is>
          <t>金</t>
        </is>
      </c>
      <c r="F5" s="106" t="inlineStr">
        <is>
          <t>グループ会議　学年会（顔合わせ）　教科会　企画会議  職員会議</t>
        </is>
      </c>
      <c r="G5" s="11" t="n">
        <v>2</v>
      </c>
      <c r="H5" s="9" t="n"/>
      <c r="I5" s="9" t="inlineStr">
        <is>
          <t>日</t>
        </is>
      </c>
      <c r="J5" s="107" t="n"/>
      <c r="K5" s="37" t="n">
        <v>2</v>
      </c>
      <c r="L5" s="37" t="inlineStr">
        <is>
          <t>●</t>
        </is>
      </c>
      <c r="M5" s="37" t="inlineStr">
        <is>
          <t>水</t>
        </is>
      </c>
      <c r="N5" s="186" t="inlineStr">
        <is>
          <t>④体育祭準備集会❹　　耳鼻科検診①②③
PM 体育祭準備</t>
        </is>
      </c>
      <c r="O5" s="87" t="n">
        <v>2</v>
      </c>
      <c r="P5" s="37" t="inlineStr">
        <is>
          <t>●</t>
        </is>
      </c>
      <c r="Q5" s="241" t="n"/>
      <c r="R5" s="85" t="inlineStr">
        <is>
          <t>金</t>
        </is>
      </c>
      <c r="S5" s="108" t="inlineStr">
        <is>
          <t>期末テスト</t>
        </is>
      </c>
      <c r="T5" s="89" t="n">
        <v>2</v>
      </c>
      <c r="U5" s="90" t="n"/>
      <c r="V5" s="90" t="inlineStr">
        <is>
          <t>〇</t>
        </is>
      </c>
      <c r="W5" s="90" t="inlineStr">
        <is>
          <t>月</t>
        </is>
      </c>
      <c r="X5" s="115" t="inlineStr">
        <is>
          <t>夏期講習・補習　職員検診</t>
        </is>
      </c>
      <c r="Y5" s="110" t="n">
        <v>2</v>
      </c>
      <c r="Z5" s="85" t="inlineStr">
        <is>
          <t>●</t>
        </is>
      </c>
      <c r="AA5" s="85" t="inlineStr">
        <is>
          <t>木</t>
        </is>
      </c>
      <c r="AB5" s="166" t="inlineStr">
        <is>
          <t>鴻志祭全日準備   
共通テスト説明会（昼　体育館）</t>
        </is>
      </c>
      <c r="AC5" s="110" t="n">
        <v>2</v>
      </c>
      <c r="AD5" s="113" t="inlineStr">
        <is>
          <t>●</t>
        </is>
      </c>
      <c r="AE5" s="97" t="inlineStr">
        <is>
          <t>土</t>
        </is>
      </c>
      <c r="AF5" s="117" t="inlineStr">
        <is>
          <t>第３回学校説明会・オープンスクール（AM）・第４回学校運営協議会　　ＰＴＡ役員会・運営委員会</t>
        </is>
      </c>
      <c r="AG5" s="97" t="n">
        <v>2</v>
      </c>
      <c r="AH5" s="97" t="inlineStr">
        <is>
          <t>●</t>
        </is>
      </c>
      <c r="AI5" s="97" t="inlineStr">
        <is>
          <t>火</t>
        </is>
      </c>
      <c r="AJ5" s="111" t="inlineStr">
        <is>
          <t>2年修学旅行（～１１/5）</t>
        </is>
      </c>
      <c r="AK5" s="37" t="n">
        <v>2</v>
      </c>
      <c r="AL5" s="92" t="inlineStr">
        <is>
          <t>●</t>
        </is>
      </c>
      <c r="AM5" s="92" t="n"/>
      <c r="AN5" s="37" t="inlineStr">
        <is>
          <t>木</t>
        </is>
      </c>
      <c r="AO5" s="118" t="inlineStr">
        <is>
          <t xml:space="preserve">期末テスト　</t>
        </is>
      </c>
      <c r="AP5" s="99" t="n">
        <v>2</v>
      </c>
      <c r="AQ5" s="99" t="n"/>
      <c r="AR5" s="99" t="inlineStr">
        <is>
          <t>〇</t>
        </is>
      </c>
      <c r="AS5" s="100" t="inlineStr">
        <is>
          <t>日</t>
        </is>
      </c>
      <c r="AT5" s="112" t="n"/>
      <c r="AU5" s="37" t="n">
        <v>2</v>
      </c>
      <c r="AV5" s="37" t="inlineStr">
        <is>
          <t>●</t>
        </is>
      </c>
      <c r="AW5" s="37" t="inlineStr">
        <is>
          <t>水</t>
        </is>
      </c>
      <c r="AX5" s="88" t="inlineStr">
        <is>
          <t>一斉点検・個票提出  45x6</t>
        </is>
      </c>
      <c r="AY5" s="113" t="n">
        <v>2</v>
      </c>
      <c r="AZ5" s="113" t="inlineStr">
        <is>
          <t>●</t>
        </is>
      </c>
      <c r="BA5" s="113" t="n"/>
      <c r="BB5" s="37" t="inlineStr">
        <is>
          <t>水</t>
        </is>
      </c>
      <c r="BC5" s="114" t="inlineStr">
        <is>
          <t>卒業式</t>
        </is>
      </c>
    </row>
    <row r="6" ht="25.5" customHeight="1">
      <c r="B6" s="43" t="n">
        <v>3</v>
      </c>
      <c r="C6" s="150" t="n"/>
      <c r="D6" s="120" t="inlineStr">
        <is>
          <t>〇</t>
        </is>
      </c>
      <c r="E6" s="44" t="inlineStr">
        <is>
          <t>土</t>
        </is>
      </c>
      <c r="F6" s="19" t="n"/>
      <c r="G6" s="11" t="n">
        <v>3</v>
      </c>
      <c r="H6" s="9" t="n"/>
      <c r="I6" s="9" t="inlineStr">
        <is>
          <t>月</t>
        </is>
      </c>
      <c r="J6" s="42" t="inlineStr">
        <is>
          <t>憲法記念日</t>
        </is>
      </c>
      <c r="K6" s="37" t="n">
        <v>3</v>
      </c>
      <c r="L6" s="37" t="inlineStr">
        <is>
          <t>●</t>
        </is>
      </c>
      <c r="M6" s="37" t="inlineStr">
        <is>
          <t>木</t>
        </is>
      </c>
      <c r="N6" s="243" t="inlineStr">
        <is>
          <t>体育祭予行</t>
        </is>
      </c>
      <c r="O6" s="11" t="n">
        <v>3</v>
      </c>
      <c r="P6" s="11" t="n"/>
      <c r="Q6" s="244" t="n"/>
      <c r="R6" s="9" t="inlineStr">
        <is>
          <t>土</t>
        </is>
      </c>
      <c r="S6" s="24" t="n"/>
      <c r="T6" s="89" t="n">
        <v>3</v>
      </c>
      <c r="U6" s="90" t="n"/>
      <c r="V6" s="90" t="inlineStr">
        <is>
          <t>〇</t>
        </is>
      </c>
      <c r="W6" s="90" t="inlineStr">
        <is>
          <t>火</t>
        </is>
      </c>
      <c r="X6" s="258" t="n"/>
      <c r="Y6" s="110" t="n">
        <v>3</v>
      </c>
      <c r="Z6" s="85" t="inlineStr">
        <is>
          <t>●</t>
        </is>
      </c>
      <c r="AA6" s="85" t="inlineStr">
        <is>
          <t>金</t>
        </is>
      </c>
      <c r="AB6" s="259" t="inlineStr">
        <is>
          <t>鴻志祭全日準備  あいさつ運動
推薦会議進路Ｇ入力点検</t>
        </is>
      </c>
      <c r="AC6" s="23" t="n">
        <v>3</v>
      </c>
      <c r="AD6" s="12" t="n"/>
      <c r="AE6" s="13" t="inlineStr">
        <is>
          <t>日</t>
        </is>
      </c>
      <c r="AF6" s="123" t="n"/>
      <c r="AG6" s="13" t="n">
        <v>3</v>
      </c>
      <c r="AH6" s="13" t="n"/>
      <c r="AI6" s="13" t="inlineStr">
        <is>
          <t>水</t>
        </is>
      </c>
      <c r="AJ6" s="16" t="inlineStr">
        <is>
          <t>文化の日</t>
        </is>
      </c>
      <c r="AK6" s="37" t="n">
        <v>3</v>
      </c>
      <c r="AL6" s="37" t="inlineStr">
        <is>
          <t>●</t>
        </is>
      </c>
      <c r="AM6" s="37" t="n"/>
      <c r="AN6" s="37" t="inlineStr">
        <is>
          <t>金</t>
        </is>
      </c>
      <c r="AO6" s="118" t="inlineStr">
        <is>
          <t xml:space="preserve">期末テスト　</t>
        </is>
      </c>
      <c r="AP6" s="119" t="n">
        <v>3</v>
      </c>
      <c r="AQ6" s="119" t="n"/>
      <c r="AR6" s="119" t="inlineStr">
        <is>
          <t>〇</t>
        </is>
      </c>
      <c r="AS6" s="100" t="inlineStr">
        <is>
          <t>月</t>
        </is>
      </c>
      <c r="AT6" s="112" t="n"/>
      <c r="AU6" s="37" t="n">
        <v>3</v>
      </c>
      <c r="AV6" s="37" t="inlineStr">
        <is>
          <t>●</t>
        </is>
      </c>
      <c r="AW6" s="37" t="inlineStr">
        <is>
          <t>木</t>
        </is>
      </c>
      <c r="AX6" s="39" t="inlineStr">
        <is>
          <t>学年会・一覧表提出</t>
        </is>
      </c>
      <c r="AY6" s="37" t="n">
        <v>3</v>
      </c>
      <c r="AZ6" s="37" t="inlineStr">
        <is>
          <t>●</t>
        </is>
      </c>
      <c r="BA6" s="37" t="n"/>
      <c r="BB6" s="37" t="inlineStr">
        <is>
          <t>木</t>
        </is>
      </c>
      <c r="BC6" s="109" t="inlineStr">
        <is>
          <t xml:space="preserve">学年末テスト　　　服装頭髪検査　　　　　　</t>
        </is>
      </c>
    </row>
    <row r="7" ht="25.5" customHeight="1">
      <c r="B7" s="43" t="n">
        <v>4</v>
      </c>
      <c r="C7" s="150" t="n"/>
      <c r="D7" s="120" t="inlineStr">
        <is>
          <t>〇</t>
        </is>
      </c>
      <c r="E7" s="44" t="inlineStr">
        <is>
          <t>日</t>
        </is>
      </c>
      <c r="F7" s="19" t="inlineStr">
        <is>
          <t>学年始休業終了</t>
        </is>
      </c>
      <c r="G7" s="11" t="n">
        <v>4</v>
      </c>
      <c r="H7" s="9" t="n"/>
      <c r="I7" s="9" t="inlineStr">
        <is>
          <t>火</t>
        </is>
      </c>
      <c r="J7" s="42" t="inlineStr">
        <is>
          <t>みどりの日</t>
        </is>
      </c>
      <c r="K7" s="37" t="n">
        <v>4</v>
      </c>
      <c r="L7" s="37" t="inlineStr">
        <is>
          <t>●</t>
        </is>
      </c>
      <c r="M7" s="37" t="inlineStr">
        <is>
          <t>金</t>
        </is>
      </c>
      <c r="N7" s="121" t="inlineStr">
        <is>
          <t>体育祭</t>
        </is>
      </c>
      <c r="O7" s="11" t="n">
        <v>4</v>
      </c>
      <c r="P7" s="11" t="n"/>
      <c r="Q7" s="244" t="n"/>
      <c r="R7" s="9" t="inlineStr">
        <is>
          <t>日</t>
        </is>
      </c>
      <c r="S7" s="24" t="n"/>
      <c r="T7" s="89" t="n">
        <v>4</v>
      </c>
      <c r="U7" s="90" t="n"/>
      <c r="V7" s="90" t="inlineStr">
        <is>
          <t>〇</t>
        </is>
      </c>
      <c r="W7" s="90" t="inlineStr">
        <is>
          <t>水</t>
        </is>
      </c>
      <c r="X7" s="260" t="n"/>
      <c r="Y7" s="110" t="n">
        <v>4</v>
      </c>
      <c r="Z7" s="85" t="inlineStr">
        <is>
          <t>●</t>
        </is>
      </c>
      <c r="AA7" s="85" t="inlineStr">
        <is>
          <t>土</t>
        </is>
      </c>
      <c r="AB7" s="142" t="inlineStr">
        <is>
          <t>鴻志祭</t>
        </is>
      </c>
      <c r="AC7" s="116" t="n">
        <v>4</v>
      </c>
      <c r="AD7" s="87" t="inlineStr">
        <is>
          <t>●</t>
        </is>
      </c>
      <c r="AE7" s="97" t="inlineStr">
        <is>
          <t>月</t>
        </is>
      </c>
      <c r="AF7" s="127" t="inlineStr">
        <is>
          <t>40X4　オープンスクール代休(PM)
あいさつ運動</t>
        </is>
      </c>
      <c r="AG7" s="37" t="n">
        <v>4</v>
      </c>
      <c r="AH7" s="37" t="inlineStr">
        <is>
          <t>●</t>
        </is>
      </c>
      <c r="AI7" s="97" t="inlineStr">
        <is>
          <t>木</t>
        </is>
      </c>
      <c r="AJ7" s="88" t="inlineStr">
        <is>
          <t>特別時間割（LHR：専修大学体験入学事前準備：1年）</t>
        </is>
      </c>
      <c r="AK7" s="11" t="n">
        <v>4</v>
      </c>
      <c r="AL7" s="11" t="n"/>
      <c r="AM7" s="11" t="n"/>
      <c r="AN7" s="11" t="inlineStr">
        <is>
          <t>土</t>
        </is>
      </c>
      <c r="AO7" s="22" t="n"/>
      <c r="AP7" s="119" t="n">
        <v>4</v>
      </c>
      <c r="AQ7" s="119" t="n"/>
      <c r="AR7" s="119" t="inlineStr">
        <is>
          <t>〇</t>
        </is>
      </c>
      <c r="AS7" s="100" t="inlineStr">
        <is>
          <t>火</t>
        </is>
      </c>
      <c r="AT7" s="122" t="inlineStr">
        <is>
          <t>学校閉庁日</t>
        </is>
      </c>
      <c r="AU7" s="37" t="n">
        <v>4</v>
      </c>
      <c r="AV7" s="37" t="inlineStr">
        <is>
          <t>●</t>
        </is>
      </c>
      <c r="AW7" s="37" t="inlineStr">
        <is>
          <t>金</t>
        </is>
      </c>
      <c r="AX7" s="124" t="inlineStr">
        <is>
          <t>40分×6・卒業判定会議</t>
        </is>
      </c>
      <c r="AY7" s="37" t="n">
        <v>4</v>
      </c>
      <c r="AZ7" s="37" t="inlineStr">
        <is>
          <t>●</t>
        </is>
      </c>
      <c r="BA7" s="37" t="n"/>
      <c r="BB7" s="37" t="inlineStr">
        <is>
          <t>金</t>
        </is>
      </c>
      <c r="BC7" s="109" t="inlineStr">
        <is>
          <t xml:space="preserve">学年末テスト　　　　　　　　　　　　　　　　　　</t>
        </is>
      </c>
    </row>
    <row r="8" ht="24.75" customHeight="1">
      <c r="B8" s="129" t="n">
        <v>5</v>
      </c>
      <c r="C8" s="246" t="inlineStr">
        <is>
          <t>●</t>
        </is>
      </c>
      <c r="D8" s="130" t="n"/>
      <c r="E8" s="131" t="inlineStr">
        <is>
          <t>月</t>
        </is>
      </c>
      <c r="F8" s="132" t="inlineStr">
        <is>
          <t>着任式　１学期始業式　入学式準備（設営・清掃）　 　学年会</t>
        </is>
      </c>
      <c r="G8" s="11" t="n">
        <v>5</v>
      </c>
      <c r="H8" s="9" t="n"/>
      <c r="I8" s="9" t="inlineStr">
        <is>
          <t>水</t>
        </is>
      </c>
      <c r="J8" s="42" t="inlineStr">
        <is>
          <t>こどもの日</t>
        </is>
      </c>
      <c r="K8" s="11" t="n">
        <v>5</v>
      </c>
      <c r="L8" s="11" t="n"/>
      <c r="M8" s="11" t="inlineStr">
        <is>
          <t>土</t>
        </is>
      </c>
      <c r="N8" s="136" t="n"/>
      <c r="O8" s="87" t="n">
        <v>5</v>
      </c>
      <c r="P8" s="37" t="inlineStr">
        <is>
          <t>●</t>
        </is>
      </c>
      <c r="Q8" s="241" t="n"/>
      <c r="R8" s="85" t="inlineStr">
        <is>
          <t>月</t>
        </is>
      </c>
      <c r="S8" s="108" t="inlineStr">
        <is>
          <t>期末テスト</t>
        </is>
      </c>
      <c r="T8" s="126" t="n">
        <v>5</v>
      </c>
      <c r="U8" s="90" t="n"/>
      <c r="V8" s="90" t="inlineStr">
        <is>
          <t>〇</t>
        </is>
      </c>
      <c r="W8" s="90" t="inlineStr">
        <is>
          <t>木</t>
        </is>
      </c>
      <c r="X8" s="258" t="n"/>
      <c r="Y8" s="110" t="n">
        <v>5</v>
      </c>
      <c r="Z8" s="85" t="inlineStr">
        <is>
          <t>●</t>
        </is>
      </c>
      <c r="AA8" s="85" t="inlineStr">
        <is>
          <t>日</t>
        </is>
      </c>
      <c r="AB8" s="142" t="inlineStr">
        <is>
          <t>鴻志祭</t>
        </is>
      </c>
      <c r="AC8" s="110" t="n">
        <v>5</v>
      </c>
      <c r="AD8" s="87" t="inlineStr">
        <is>
          <t>●</t>
        </is>
      </c>
      <c r="AE8" s="97" t="inlineStr">
        <is>
          <t>火</t>
        </is>
      </c>
      <c r="AF8" s="127" t="n"/>
      <c r="AG8" s="37" t="n">
        <v>5</v>
      </c>
      <c r="AH8" s="37" t="inlineStr">
        <is>
          <t>●</t>
        </is>
      </c>
      <c r="AI8" s="97" t="inlineStr">
        <is>
          <t>金</t>
        </is>
      </c>
      <c r="AJ8" s="88" t="inlineStr">
        <is>
          <t>特別時間割（1年：専修大学体験入学）</t>
        </is>
      </c>
      <c r="AK8" s="13" t="n">
        <v>5</v>
      </c>
      <c r="AL8" s="13" t="n"/>
      <c r="AM8" s="11" t="n"/>
      <c r="AN8" s="11" t="inlineStr">
        <is>
          <t>日</t>
        </is>
      </c>
      <c r="AO8" s="22" t="n"/>
      <c r="AP8" s="128" t="n">
        <v>5</v>
      </c>
      <c r="AQ8" s="128" t="n"/>
      <c r="AR8" s="128" t="inlineStr">
        <is>
          <t>〇</t>
        </is>
      </c>
      <c r="AS8" s="100" t="inlineStr">
        <is>
          <t>水</t>
        </is>
      </c>
      <c r="AT8" s="101" t="inlineStr">
        <is>
          <t>調査書発行業務（事務）</t>
        </is>
      </c>
      <c r="AU8" s="11" t="n">
        <v>5</v>
      </c>
      <c r="AV8" s="11" t="n"/>
      <c r="AW8" s="11" t="inlineStr">
        <is>
          <t>土</t>
        </is>
      </c>
      <c r="AX8" s="14" t="inlineStr">
        <is>
          <t>ＰＴＡ予算会議</t>
        </is>
      </c>
      <c r="AY8" s="13" t="n">
        <v>5</v>
      </c>
      <c r="AZ8" s="13" t="n"/>
      <c r="BA8" s="13" t="n"/>
      <c r="BB8" s="11" t="inlineStr">
        <is>
          <t>土</t>
        </is>
      </c>
      <c r="BC8" s="15" t="inlineStr">
        <is>
          <t>ＰＴＡ指名委員会・役員会・運営委員会</t>
        </is>
      </c>
    </row>
    <row r="9" ht="24.75" customHeight="1">
      <c r="B9" s="129" t="n">
        <v>6</v>
      </c>
      <c r="C9" s="246" t="inlineStr">
        <is>
          <t>●</t>
        </is>
      </c>
      <c r="D9" s="130" t="n"/>
      <c r="E9" s="131" t="inlineStr">
        <is>
          <t>火</t>
        </is>
      </c>
      <c r="F9" s="132" t="inlineStr">
        <is>
          <t>入学式　 芸術教科書購入（PTA入会式 　自転車保険申込　　PM新入生歓迎会リハ</t>
        </is>
      </c>
      <c r="G9" s="37" t="n">
        <v>6</v>
      </c>
      <c r="H9" s="85" t="inlineStr">
        <is>
          <t>●</t>
        </is>
      </c>
      <c r="I9" s="85" t="inlineStr">
        <is>
          <t>木</t>
        </is>
      </c>
      <c r="J9" s="261" t="n"/>
      <c r="K9" s="11" t="n">
        <v>6</v>
      </c>
      <c r="L9" s="11" t="n"/>
      <c r="M9" s="11" t="inlineStr">
        <is>
          <t>日</t>
        </is>
      </c>
      <c r="N9" s="46" t="n"/>
      <c r="O9" s="87" t="n">
        <v>6</v>
      </c>
      <c r="P9" s="37" t="inlineStr">
        <is>
          <t>●</t>
        </is>
      </c>
      <c r="Q9" s="241" t="n"/>
      <c r="R9" s="85" t="inlineStr">
        <is>
          <t>火</t>
        </is>
      </c>
      <c r="S9" s="262" t="inlineStr">
        <is>
          <t>期末テスト鴻志祭外看板・CMデータ、
貸付金申請書提出〆切</t>
        </is>
      </c>
      <c r="T9" s="89" t="n">
        <v>6</v>
      </c>
      <c r="U9" s="90" t="n"/>
      <c r="V9" s="90" t="inlineStr">
        <is>
          <t>〇</t>
        </is>
      </c>
      <c r="W9" s="90" t="inlineStr">
        <is>
          <t>金</t>
        </is>
      </c>
      <c r="X9" s="258" t="n"/>
      <c r="Y9" s="110" t="n">
        <v>6</v>
      </c>
      <c r="Z9" s="85" t="inlineStr">
        <is>
          <t>●</t>
        </is>
      </c>
      <c r="AA9" s="85" t="inlineStr">
        <is>
          <t>月</t>
        </is>
      </c>
      <c r="AB9" s="263" t="inlineStr">
        <is>
          <t>片付け　選挙管理委員会
推薦会議進路Ｇ準備</t>
        </is>
      </c>
      <c r="AC9" s="110" t="n">
        <v>6</v>
      </c>
      <c r="AD9" s="87" t="inlineStr">
        <is>
          <t>●</t>
        </is>
      </c>
      <c r="AE9" s="97" t="inlineStr">
        <is>
          <t>水</t>
        </is>
      </c>
      <c r="AF9" s="264" t="n"/>
      <c r="AG9" s="11" t="n">
        <v>6</v>
      </c>
      <c r="AH9" s="11" t="n"/>
      <c r="AI9" s="13" t="inlineStr">
        <is>
          <t>土</t>
        </is>
      </c>
      <c r="AJ9" s="265" t="inlineStr">
        <is>
          <t>ＰＴＡ役員会・運営委員会</t>
        </is>
      </c>
      <c r="AK9" s="97" t="n">
        <v>6</v>
      </c>
      <c r="AL9" s="37" t="inlineStr">
        <is>
          <t>●</t>
        </is>
      </c>
      <c r="AM9" s="97" t="n"/>
      <c r="AN9" s="37" t="inlineStr">
        <is>
          <t>月</t>
        </is>
      </c>
      <c r="AO9" s="118" t="inlineStr">
        <is>
          <t xml:space="preserve">期末テスト　　　　　　　　　</t>
        </is>
      </c>
      <c r="AP9" s="119" t="n">
        <v>6</v>
      </c>
      <c r="AQ9" s="119" t="n"/>
      <c r="AR9" s="119" t="inlineStr">
        <is>
          <t>〇</t>
        </is>
      </c>
      <c r="AS9" s="100" t="inlineStr">
        <is>
          <t>木</t>
        </is>
      </c>
      <c r="AT9" s="101" t="inlineStr">
        <is>
          <t>冬季休業終了　調査書発行業務（事務）</t>
        </is>
      </c>
      <c r="AU9" s="13" t="n">
        <v>6</v>
      </c>
      <c r="AV9" s="13" t="n"/>
      <c r="AW9" s="11" t="inlineStr">
        <is>
          <t>日</t>
        </is>
      </c>
      <c r="AX9" s="14" t="n"/>
      <c r="AY9" s="13" t="n">
        <v>6</v>
      </c>
      <c r="AZ9" s="13" t="n"/>
      <c r="BA9" s="13" t="n"/>
      <c r="BB9" s="11" t="inlineStr">
        <is>
          <t>日</t>
        </is>
      </c>
      <c r="BC9" s="15" t="n"/>
    </row>
    <row r="10" ht="25.5" customHeight="1">
      <c r="B10" s="135" t="n">
        <v>7</v>
      </c>
      <c r="C10" s="266" t="inlineStr">
        <is>
          <t>●</t>
        </is>
      </c>
      <c r="D10" s="507" t="n"/>
      <c r="E10" s="131" t="inlineStr">
        <is>
          <t>水</t>
        </is>
      </c>
      <c r="F10" s="139" t="inlineStr">
        <is>
          <t>LHR　クラス写真　⑤⑥新入生歓迎会</t>
        </is>
      </c>
      <c r="G10" s="37" t="n">
        <v>7</v>
      </c>
      <c r="H10" s="85" t="inlineStr">
        <is>
          <t>●</t>
        </is>
      </c>
      <c r="I10" s="85" t="inlineStr">
        <is>
          <t>金</t>
        </is>
      </c>
      <c r="J10" s="121" t="inlineStr">
        <is>
          <t>校外学習</t>
        </is>
      </c>
      <c r="K10" s="37" t="n">
        <v>7</v>
      </c>
      <c r="L10" s="37" t="inlineStr">
        <is>
          <t>●</t>
        </is>
      </c>
      <c r="M10" s="37" t="inlineStr">
        <is>
          <t>月</t>
        </is>
      </c>
      <c r="N10" s="125" t="inlineStr">
        <is>
          <t>④科目選択説明会（1年武道場）スタサポ振り返り（2年体育館）　小論文学習（3年）</t>
        </is>
      </c>
      <c r="O10" s="96" t="n">
        <v>7</v>
      </c>
      <c r="P10" s="92" t="inlineStr">
        <is>
          <t>●</t>
        </is>
      </c>
      <c r="Q10" s="247" t="n"/>
      <c r="R10" s="85" t="inlineStr">
        <is>
          <t>水</t>
        </is>
      </c>
      <c r="S10" s="133" t="inlineStr">
        <is>
          <t xml:space="preserve">特別時間割40x5　　</t>
        </is>
      </c>
      <c r="T10" s="89" t="n">
        <v>7</v>
      </c>
      <c r="U10" s="90" t="n"/>
      <c r="V10" s="90" t="inlineStr">
        <is>
          <t>〇</t>
        </is>
      </c>
      <c r="W10" s="90" t="inlineStr">
        <is>
          <t>土</t>
        </is>
      </c>
      <c r="X10" s="258" t="n"/>
      <c r="Y10" s="43" t="n">
        <v>7</v>
      </c>
      <c r="Z10" s="44" t="n"/>
      <c r="AA10" s="44" t="inlineStr">
        <is>
          <t>火</t>
        </is>
      </c>
      <c r="AB10" s="189" t="inlineStr">
        <is>
          <t>代休</t>
        </is>
      </c>
      <c r="AC10" s="95" t="n">
        <v>7</v>
      </c>
      <c r="AD10" s="96" t="inlineStr">
        <is>
          <t>●</t>
        </is>
      </c>
      <c r="AE10" s="97" t="inlineStr">
        <is>
          <t>木</t>
        </is>
      </c>
      <c r="AF10" s="267" t="inlineStr">
        <is>
          <t>立会演説会・投票（ＬＨＲ）</t>
        </is>
      </c>
      <c r="AG10" s="13" t="n">
        <v>7</v>
      </c>
      <c r="AH10" s="13" t="n"/>
      <c r="AI10" s="13" t="inlineStr">
        <is>
          <t>日</t>
        </is>
      </c>
      <c r="AJ10" s="137" t="n"/>
      <c r="AK10" s="37" t="n">
        <v>7</v>
      </c>
      <c r="AL10" s="37" t="inlineStr">
        <is>
          <t>●</t>
        </is>
      </c>
      <c r="AM10" s="97" t="n"/>
      <c r="AN10" s="37" t="inlineStr">
        <is>
          <t>火</t>
        </is>
      </c>
      <c r="AO10" s="118" t="inlineStr">
        <is>
          <t>特別時間割40x5　あいさつ運動</t>
        </is>
      </c>
      <c r="AP10" s="87" t="n">
        <v>7</v>
      </c>
      <c r="AQ10" s="113" t="inlineStr">
        <is>
          <t>●</t>
        </is>
      </c>
      <c r="AR10" s="87" t="n"/>
      <c r="AS10" s="97" t="inlineStr">
        <is>
          <t>金</t>
        </is>
      </c>
      <c r="AT10" s="133" t="inlineStr">
        <is>
          <t>３学期始業式 40x6　調査書発行業務（事務）</t>
        </is>
      </c>
      <c r="AU10" s="97" t="n">
        <v>7</v>
      </c>
      <c r="AV10" s="97" t="inlineStr">
        <is>
          <t>●</t>
        </is>
      </c>
      <c r="AW10" s="37" t="inlineStr">
        <is>
          <t>月</t>
        </is>
      </c>
      <c r="AX10" s="124" t="inlineStr">
        <is>
          <t>あいさつ運動</t>
        </is>
      </c>
      <c r="AY10" s="37" t="n">
        <v>7</v>
      </c>
      <c r="AZ10" s="37" t="inlineStr">
        <is>
          <t>●</t>
        </is>
      </c>
      <c r="BA10" s="37" t="n"/>
      <c r="BB10" s="37" t="inlineStr">
        <is>
          <t>月</t>
        </is>
      </c>
      <c r="BC10" s="109" t="inlineStr">
        <is>
          <t xml:space="preserve">学年末テスト　　　　　　　　　　　　　　　　　　</t>
        </is>
      </c>
    </row>
    <row r="11" ht="38.25" customHeight="1">
      <c r="B11" s="129" t="n">
        <v>8</v>
      </c>
      <c r="C11" s="246" t="inlineStr">
        <is>
          <t>●</t>
        </is>
      </c>
      <c r="D11" s="130" t="n"/>
      <c r="E11" s="131" t="inlineStr">
        <is>
          <t>木</t>
        </is>
      </c>
      <c r="F11" s="139" t="inlineStr">
        <is>
          <t>④体育祭準備集会➊  一斉委員会（放課後）
鴻志祭代表者要項説明会（３年、部活、委員会）</t>
        </is>
      </c>
      <c r="G11" s="11" t="n">
        <v>8</v>
      </c>
      <c r="H11" s="9" t="inlineStr">
        <is>
          <t>●</t>
        </is>
      </c>
      <c r="I11" s="9" t="inlineStr">
        <is>
          <t>土</t>
        </is>
      </c>
      <c r="J11" s="268" t="inlineStr">
        <is>
          <t>ＰＴＡ役員会・運営委員会</t>
        </is>
      </c>
      <c r="K11" s="37" t="n">
        <v>8</v>
      </c>
      <c r="L11" s="37" t="inlineStr">
        <is>
          <t>●</t>
        </is>
      </c>
      <c r="M11" s="37" t="inlineStr">
        <is>
          <t>火</t>
        </is>
      </c>
      <c r="N11" s="138" t="inlineStr">
        <is>
          <t>体育祭予備日①
鴻志祭参加団体代表者・会計説明会（物品・部活・委員会）</t>
        </is>
      </c>
      <c r="O11" s="87" t="n">
        <v>8</v>
      </c>
      <c r="P11" s="37" t="inlineStr">
        <is>
          <t>●</t>
        </is>
      </c>
      <c r="Q11" s="241" t="n"/>
      <c r="R11" s="85" t="inlineStr">
        <is>
          <t>木</t>
        </is>
      </c>
      <c r="S11" s="133" t="inlineStr">
        <is>
          <t xml:space="preserve">特別時間割40x5　　内科検診（欠席者）①　</t>
        </is>
      </c>
      <c r="T11" s="11" t="n">
        <v>8</v>
      </c>
      <c r="U11" s="17" t="n"/>
      <c r="V11" s="17" t="inlineStr">
        <is>
          <t>〇</t>
        </is>
      </c>
      <c r="W11" s="17" t="inlineStr">
        <is>
          <t>日</t>
        </is>
      </c>
      <c r="X11" s="248" t="inlineStr">
        <is>
          <t>山の日</t>
        </is>
      </c>
      <c r="Y11" s="43" t="n">
        <v>8</v>
      </c>
      <c r="Z11" s="44" t="n"/>
      <c r="AA11" s="44" t="inlineStr">
        <is>
          <t>水</t>
        </is>
      </c>
      <c r="AB11" s="189" t="inlineStr">
        <is>
          <t>代休</t>
        </is>
      </c>
      <c r="AC11" s="110" t="n">
        <v>8</v>
      </c>
      <c r="AD11" s="87" t="inlineStr">
        <is>
          <t>●</t>
        </is>
      </c>
      <c r="AE11" s="97" t="inlineStr">
        <is>
          <t>金</t>
        </is>
      </c>
      <c r="AF11" s="269" t="n"/>
      <c r="AG11" s="97" t="n">
        <v>8</v>
      </c>
      <c r="AH11" s="87" t="inlineStr">
        <is>
          <t>●</t>
        </is>
      </c>
      <c r="AI11" s="97" t="inlineStr">
        <is>
          <t>月</t>
        </is>
      </c>
      <c r="AJ11" s="156" t="inlineStr">
        <is>
          <t>2年代休　特別時間割　④1年専修大学体験振返り</t>
        </is>
      </c>
      <c r="AK11" s="37" t="n">
        <v>8</v>
      </c>
      <c r="AL11" s="37" t="inlineStr">
        <is>
          <t>●</t>
        </is>
      </c>
      <c r="AM11" s="37" t="n"/>
      <c r="AN11" s="37" t="inlineStr">
        <is>
          <t>水</t>
        </is>
      </c>
      <c r="AO11" s="88" t="inlineStr">
        <is>
          <t xml:space="preserve">特別時間割40x5　　　</t>
        </is>
      </c>
      <c r="AP11" s="12" t="n">
        <v>8</v>
      </c>
      <c r="AQ11" s="12" t="n"/>
      <c r="AR11" s="12" t="n"/>
      <c r="AS11" s="13" t="inlineStr">
        <is>
          <t>土</t>
        </is>
      </c>
      <c r="AT11" s="19" t="inlineStr">
        <is>
          <t>ＰＴＡ役員会・運営委員会</t>
        </is>
      </c>
      <c r="AU11" s="37" t="n">
        <v>8</v>
      </c>
      <c r="AV11" s="37" t="inlineStr">
        <is>
          <t>●</t>
        </is>
      </c>
      <c r="AW11" s="37" t="inlineStr">
        <is>
          <t>火</t>
        </is>
      </c>
      <c r="AX11" s="124" t="n"/>
      <c r="AY11" s="37" t="n">
        <v>8</v>
      </c>
      <c r="AZ11" s="37" t="inlineStr">
        <is>
          <t>●</t>
        </is>
      </c>
      <c r="BA11" s="37" t="n"/>
      <c r="BB11" s="37" t="inlineStr">
        <is>
          <t>火</t>
        </is>
      </c>
      <c r="BC11" s="109" t="inlineStr">
        <is>
          <t xml:space="preserve">学年末テスト　　　　　　　　　　　　　　　　　　</t>
        </is>
      </c>
    </row>
    <row r="12" ht="25.5" customHeight="1">
      <c r="B12" s="129" t="n">
        <v>9</v>
      </c>
      <c r="C12" s="246" t="inlineStr">
        <is>
          <t>●</t>
        </is>
      </c>
      <c r="D12" s="130" t="n"/>
      <c r="E12" s="131" t="inlineStr">
        <is>
          <t>金</t>
        </is>
      </c>
      <c r="F12" s="139" t="inlineStr">
        <is>
          <t xml:space="preserve">転編入テスト
鴻志祭代表者要項説明会（１年、２年）　</t>
        </is>
      </c>
      <c r="G12" s="11" t="n">
        <v>9</v>
      </c>
      <c r="H12" s="9" t="n"/>
      <c r="I12" s="9" t="inlineStr">
        <is>
          <t>日</t>
        </is>
      </c>
      <c r="J12" s="46" t="n"/>
      <c r="K12" s="92" t="n">
        <v>9</v>
      </c>
      <c r="L12" s="92" t="inlineStr">
        <is>
          <t>●</t>
        </is>
      </c>
      <c r="M12" s="37" t="inlineStr">
        <is>
          <t>水</t>
        </is>
      </c>
      <c r="N12" s="138" t="inlineStr">
        <is>
          <t>体育祭予備日②
鴻志祭参加団体代表者・会計説明会（パフォーマンス）</t>
        </is>
      </c>
      <c r="O12" s="37" t="n">
        <v>9</v>
      </c>
      <c r="P12" s="37" t="inlineStr">
        <is>
          <t>●</t>
        </is>
      </c>
      <c r="Q12" s="241" t="n"/>
      <c r="R12" s="85" t="inlineStr">
        <is>
          <t>金</t>
        </is>
      </c>
      <c r="S12" s="141" t="inlineStr">
        <is>
          <t xml:space="preserve">特別時間割40x5　　素点・欠時入力締切
PTA関東大会  1日目                                                    </t>
        </is>
      </c>
      <c r="T12" s="11" t="n">
        <v>9</v>
      </c>
      <c r="U12" s="17" t="n"/>
      <c r="V12" s="17" t="inlineStr">
        <is>
          <t>〇</t>
        </is>
      </c>
      <c r="W12" s="17" t="inlineStr">
        <is>
          <t>月</t>
        </is>
      </c>
      <c r="X12" s="248" t="inlineStr">
        <is>
          <t>振替休日</t>
        </is>
      </c>
      <c r="Y12" s="95" t="n">
        <v>9</v>
      </c>
      <c r="Z12" s="85" t="inlineStr">
        <is>
          <t>●</t>
        </is>
      </c>
      <c r="AA12" s="85" t="inlineStr">
        <is>
          <t>木</t>
        </is>
      </c>
      <c r="AB12" s="270" t="inlineStr">
        <is>
          <t>推薦原案作成会議①　40×６</t>
        </is>
      </c>
      <c r="AC12" s="245" t="n">
        <v>9</v>
      </c>
      <c r="AD12" s="18" t="n"/>
      <c r="AE12" s="13" t="inlineStr">
        <is>
          <t>土</t>
        </is>
      </c>
      <c r="AF12" s="21" t="n"/>
      <c r="AG12" s="87" t="n">
        <v>9</v>
      </c>
      <c r="AH12" s="87" t="inlineStr">
        <is>
          <t>●</t>
        </is>
      </c>
      <c r="AI12" s="97" t="inlineStr">
        <is>
          <t>火</t>
        </is>
      </c>
      <c r="AJ12" s="124" t="n"/>
      <c r="AK12" s="92" t="n">
        <v>9</v>
      </c>
      <c r="AL12" s="92" t="inlineStr">
        <is>
          <t>●</t>
        </is>
      </c>
      <c r="AM12" s="37" t="n"/>
      <c r="AN12" s="37" t="inlineStr">
        <is>
          <t>木</t>
        </is>
      </c>
      <c r="AO12" s="88" t="inlineStr">
        <is>
          <t xml:space="preserve">特別時間割40x5　素点・欠時入力締切　　</t>
        </is>
      </c>
      <c r="AP12" s="12" t="n">
        <v>9</v>
      </c>
      <c r="AQ12" s="12" t="n"/>
      <c r="AR12" s="12" t="n"/>
      <c r="AS12" s="13" t="inlineStr">
        <is>
          <t>日</t>
        </is>
      </c>
      <c r="AT12" s="19" t="n"/>
      <c r="AU12" s="37" t="n">
        <v>9</v>
      </c>
      <c r="AV12" s="37" t="inlineStr">
        <is>
          <t>●</t>
        </is>
      </c>
      <c r="AW12" s="37" t="inlineStr">
        <is>
          <t>水</t>
        </is>
      </c>
      <c r="AX12" s="124" t="inlineStr">
        <is>
          <t>x</t>
        </is>
      </c>
      <c r="AY12" s="37" t="n">
        <v>9</v>
      </c>
      <c r="AZ12" s="37" t="inlineStr">
        <is>
          <t>●</t>
        </is>
      </c>
      <c r="BA12" s="37" t="n"/>
      <c r="BB12" s="37" t="inlineStr">
        <is>
          <t>水</t>
        </is>
      </c>
      <c r="BC12" s="109" t="inlineStr">
        <is>
          <t>特別時間割40x5　あいさつ運動</t>
        </is>
      </c>
    </row>
    <row r="13" ht="33" customHeight="1">
      <c r="B13" s="43" t="n">
        <v>10</v>
      </c>
      <c r="C13" s="150" t="n"/>
      <c r="D13" s="120" t="n"/>
      <c r="E13" s="44" t="inlineStr">
        <is>
          <t>土</t>
        </is>
      </c>
      <c r="F13" s="146" t="n"/>
      <c r="G13" s="37" t="n">
        <v>10</v>
      </c>
      <c r="H13" s="85" t="inlineStr">
        <is>
          <t>●</t>
        </is>
      </c>
      <c r="I13" s="85" t="inlineStr">
        <is>
          <t>月</t>
        </is>
      </c>
      <c r="J13" s="163" t="inlineStr">
        <is>
          <t>④小論文ガイダンス（3年体育館）
あいさつ運動</t>
        </is>
      </c>
      <c r="K13" s="37" t="n">
        <v>10</v>
      </c>
      <c r="L13" s="37" t="inlineStr">
        <is>
          <t>●</t>
        </is>
      </c>
      <c r="M13" s="37" t="inlineStr">
        <is>
          <t>木</t>
        </is>
      </c>
      <c r="N13" s="127" t="inlineStr">
        <is>
          <t>内科検診①②③④</t>
        </is>
      </c>
      <c r="O13" s="11" t="n">
        <v>10</v>
      </c>
      <c r="P13" s="9" t="n"/>
      <c r="Q13" s="9" t="n"/>
      <c r="R13" s="9" t="inlineStr">
        <is>
          <t>土</t>
        </is>
      </c>
      <c r="S13" s="271" t="inlineStr">
        <is>
          <t>ＰＴＡ関東大会　2日目</t>
        </is>
      </c>
      <c r="T13" s="89" t="n">
        <v>10</v>
      </c>
      <c r="U13" s="90" t="n"/>
      <c r="V13" s="90" t="inlineStr">
        <is>
          <t>〇</t>
        </is>
      </c>
      <c r="W13" s="90" t="inlineStr">
        <is>
          <t>火</t>
        </is>
      </c>
      <c r="X13" s="115" t="n"/>
      <c r="Y13" s="110" t="n">
        <v>10</v>
      </c>
      <c r="Z13" s="85" t="inlineStr">
        <is>
          <t>●</t>
        </is>
      </c>
      <c r="AA13" s="85" t="inlineStr">
        <is>
          <t>金</t>
        </is>
      </c>
      <c r="AB13" s="270" t="inlineStr">
        <is>
          <t>推薦原案作成会議②　40×６</t>
        </is>
      </c>
      <c r="AC13" s="23" t="n">
        <v>10</v>
      </c>
      <c r="AD13" s="12" t="n"/>
      <c r="AE13" s="13" t="inlineStr">
        <is>
          <t>日</t>
        </is>
      </c>
      <c r="AF13" s="20" t="n"/>
      <c r="AG13" s="87" t="n">
        <v>10</v>
      </c>
      <c r="AH13" s="87" t="inlineStr">
        <is>
          <t>●</t>
        </is>
      </c>
      <c r="AI13" s="97" t="inlineStr">
        <is>
          <t>水</t>
        </is>
      </c>
      <c r="AJ13" s="134" t="n"/>
      <c r="AK13" s="37" t="n">
        <v>10</v>
      </c>
      <c r="AL13" s="92" t="inlineStr">
        <is>
          <t>●</t>
        </is>
      </c>
      <c r="AM13" s="92" t="n"/>
      <c r="AN13" s="37" t="inlineStr">
        <is>
          <t>金</t>
        </is>
      </c>
      <c r="AO13" s="88" t="inlineStr">
        <is>
          <t>短縮時間割40x4　素点・欠時票配付</t>
        </is>
      </c>
      <c r="AP13" s="12" t="n">
        <v>10</v>
      </c>
      <c r="AQ13" s="12" t="n"/>
      <c r="AR13" s="12" t="n"/>
      <c r="AS13" s="13" t="inlineStr">
        <is>
          <t>月</t>
        </is>
      </c>
      <c r="AT13" s="272" t="inlineStr">
        <is>
          <t>成人の日</t>
        </is>
      </c>
      <c r="AU13" s="92" t="n">
        <v>10</v>
      </c>
      <c r="AV13" s="92" t="inlineStr">
        <is>
          <t>●</t>
        </is>
      </c>
      <c r="AW13" s="37" t="inlineStr">
        <is>
          <t>木</t>
        </is>
      </c>
      <c r="AX13" s="124" t="n"/>
      <c r="AY13" s="37" t="n">
        <v>10</v>
      </c>
      <c r="AZ13" s="37" t="inlineStr">
        <is>
          <t>●</t>
        </is>
      </c>
      <c r="BA13" s="37" t="n"/>
      <c r="BB13" s="37" t="inlineStr">
        <is>
          <t>木</t>
        </is>
      </c>
      <c r="BC13" s="114" t="inlineStr">
        <is>
          <t>特別時間割40x5</t>
        </is>
      </c>
    </row>
    <row r="14" ht="26.25" customHeight="1">
      <c r="B14" s="43" t="n">
        <v>11</v>
      </c>
      <c r="C14" s="150" t="n"/>
      <c r="D14" s="120" t="n"/>
      <c r="E14" s="44" t="inlineStr">
        <is>
          <t>日</t>
        </is>
      </c>
      <c r="F14" s="144" t="n"/>
      <c r="G14" s="37" t="n">
        <v>11</v>
      </c>
      <c r="H14" s="85" t="inlineStr">
        <is>
          <t>●</t>
        </is>
      </c>
      <c r="I14" s="85" t="inlineStr">
        <is>
          <t>火</t>
        </is>
      </c>
      <c r="J14" s="145" t="n"/>
      <c r="K14" s="37" t="n">
        <v>11</v>
      </c>
      <c r="L14" s="37" t="inlineStr">
        <is>
          <t>●</t>
        </is>
      </c>
      <c r="M14" s="37" t="inlineStr">
        <is>
          <t>金</t>
        </is>
      </c>
      <c r="N14" s="121" t="inlineStr">
        <is>
          <t>教育実習終了　職員会議</t>
        </is>
      </c>
      <c r="O14" s="11" t="n">
        <v>11</v>
      </c>
      <c r="P14" s="9" t="n"/>
      <c r="Q14" s="9" t="n"/>
      <c r="R14" s="9" t="inlineStr">
        <is>
          <t>日</t>
        </is>
      </c>
      <c r="S14" s="19" t="n"/>
      <c r="T14" s="89" t="n">
        <v>11</v>
      </c>
      <c r="U14" s="90" t="n"/>
      <c r="V14" s="90" t="inlineStr">
        <is>
          <t>〇</t>
        </is>
      </c>
      <c r="W14" s="90" t="inlineStr">
        <is>
          <t>水</t>
        </is>
      </c>
      <c r="X14" s="258" t="inlineStr">
        <is>
          <t>学校閉庁日</t>
        </is>
      </c>
      <c r="Y14" s="245" t="n">
        <v>11</v>
      </c>
      <c r="Z14" s="9" t="n"/>
      <c r="AA14" s="9" t="inlineStr">
        <is>
          <t>土</t>
        </is>
      </c>
      <c r="AB14" s="25" t="n"/>
      <c r="AC14" s="320" t="n">
        <v>11</v>
      </c>
      <c r="AD14" s="321" t="n"/>
      <c r="AE14" s="322" t="inlineStr">
        <is>
          <t>月</t>
        </is>
      </c>
      <c r="AF14" s="323" t="n"/>
      <c r="AG14" s="96" t="n">
        <v>11</v>
      </c>
      <c r="AH14" s="96" t="inlineStr">
        <is>
          <t>●</t>
        </is>
      </c>
      <c r="AI14" s="97" t="inlineStr">
        <is>
          <t>木</t>
        </is>
      </c>
      <c r="AJ14" s="88" t="inlineStr">
        <is>
          <t>PM　芸術鑑賞会（麻生市民館）</t>
        </is>
      </c>
      <c r="AK14" s="11" t="n">
        <v>11</v>
      </c>
      <c r="AL14" s="11" t="n"/>
      <c r="AM14" s="11" t="n"/>
      <c r="AN14" s="11" t="inlineStr">
        <is>
          <t>土</t>
        </is>
      </c>
      <c r="AO14" s="265" t="inlineStr">
        <is>
          <t>学校説明会
ＰＴＡ役員会・運営委員会</t>
        </is>
      </c>
      <c r="AP14" s="113" t="n">
        <v>11</v>
      </c>
      <c r="AQ14" s="113" t="inlineStr">
        <is>
          <t>●</t>
        </is>
      </c>
      <c r="AR14" s="113" t="n"/>
      <c r="AS14" s="97" t="inlineStr">
        <is>
          <t>火</t>
        </is>
      </c>
      <c r="AT14" s="121" t="inlineStr">
        <is>
          <t xml:space="preserve">あいさつ運動 </t>
        </is>
      </c>
      <c r="AU14" s="13" t="n">
        <v>11</v>
      </c>
      <c r="AV14" s="13" t="n"/>
      <c r="AW14" s="11" t="inlineStr">
        <is>
          <t>金</t>
        </is>
      </c>
      <c r="AX14" s="16" t="inlineStr">
        <is>
          <t>建国記念日</t>
        </is>
      </c>
      <c r="AY14" s="37" t="n">
        <v>11</v>
      </c>
      <c r="AZ14" s="37" t="inlineStr">
        <is>
          <t>●</t>
        </is>
      </c>
      <c r="BA14" s="37" t="n"/>
      <c r="BB14" s="37" t="inlineStr">
        <is>
          <t>金</t>
        </is>
      </c>
      <c r="BC14" s="273" t="inlineStr">
        <is>
          <t xml:space="preserve">特別時間割40ｘ5
素点・欠時入力締切
</t>
        </is>
      </c>
    </row>
    <row r="15" ht="32.25" customHeight="1">
      <c r="B15" s="147" t="n">
        <v>12</v>
      </c>
      <c r="C15" s="274" t="inlineStr">
        <is>
          <t>●</t>
        </is>
      </c>
      <c r="D15" s="148" t="n"/>
      <c r="E15" s="131" t="inlineStr">
        <is>
          <t>月</t>
        </is>
      </c>
      <c r="F15" s="275" t="inlineStr">
        <is>
          <t>授業見に行こう月間（～5/14） ④オリエンテーション（3年体育館）  あいさつ運動　
PTA私費会計監査</t>
        </is>
      </c>
      <c r="G15" s="37" t="n">
        <v>12</v>
      </c>
      <c r="H15" s="85" t="inlineStr">
        <is>
          <t>●</t>
        </is>
      </c>
      <c r="I15" s="85" t="inlineStr">
        <is>
          <t>水</t>
        </is>
      </c>
      <c r="J15" s="121" t="n"/>
      <c r="K15" s="11" t="n">
        <v>12</v>
      </c>
      <c r="L15" s="11" t="n"/>
      <c r="M15" s="11" t="inlineStr">
        <is>
          <t>土</t>
        </is>
      </c>
      <c r="N15" s="41" t="inlineStr">
        <is>
          <t>ＰＴＡ役員会・運営委員会</t>
        </is>
      </c>
      <c r="O15" s="37" t="n">
        <v>12</v>
      </c>
      <c r="P15" s="85" t="inlineStr">
        <is>
          <t>●</t>
        </is>
      </c>
      <c r="Q15" s="85" t="n"/>
      <c r="R15" s="85" t="inlineStr">
        <is>
          <t>月</t>
        </is>
      </c>
      <c r="S15" s="262" t="inlineStr">
        <is>
          <t>短縮時間割40x4　素点・欠時票配布
鴻志祭進行表〆切　小論文振り返り（3年体育館）
あいさつ運動</t>
        </is>
      </c>
      <c r="T15" s="126" t="n">
        <v>12</v>
      </c>
      <c r="U15" s="90" t="n"/>
      <c r="V15" s="90" t="inlineStr">
        <is>
          <t>〇</t>
        </is>
      </c>
      <c r="W15" s="90" t="inlineStr">
        <is>
          <t>木</t>
        </is>
      </c>
      <c r="X15" s="258" t="inlineStr">
        <is>
          <t>学校閉庁日</t>
        </is>
      </c>
      <c r="Y15" s="245" t="n">
        <v>12</v>
      </c>
      <c r="Z15" s="9" t="n"/>
      <c r="AA15" s="9" t="inlineStr">
        <is>
          <t>日</t>
        </is>
      </c>
      <c r="AB15" s="25" t="n"/>
      <c r="AC15" s="116" t="n">
        <v>12</v>
      </c>
      <c r="AD15" s="113" t="inlineStr">
        <is>
          <t>●</t>
        </is>
      </c>
      <c r="AE15" s="97" t="inlineStr">
        <is>
          <t>火</t>
        </is>
      </c>
      <c r="AF15" s="88" t="n"/>
      <c r="AG15" s="87" t="n">
        <v>12</v>
      </c>
      <c r="AH15" s="87" t="inlineStr">
        <is>
          <t>●</t>
        </is>
      </c>
      <c r="AI15" s="97" t="inlineStr">
        <is>
          <t>金</t>
        </is>
      </c>
      <c r="AJ15" s="88" t="n"/>
      <c r="AK15" s="13" t="n">
        <v>12</v>
      </c>
      <c r="AL15" s="13" t="n"/>
      <c r="AM15" s="11" t="n"/>
      <c r="AN15" s="11" t="inlineStr">
        <is>
          <t>日</t>
        </is>
      </c>
      <c r="AO15" s="26" t="n"/>
      <c r="AP15" s="87" t="n">
        <v>12</v>
      </c>
      <c r="AQ15" s="87" t="inlineStr">
        <is>
          <t>●</t>
        </is>
      </c>
      <c r="AR15" s="87" t="n"/>
      <c r="AS15" s="97" t="inlineStr">
        <is>
          <t>水</t>
        </is>
      </c>
      <c r="AT15" s="133" t="n"/>
      <c r="AU15" s="11" t="n">
        <v>12</v>
      </c>
      <c r="AV15" s="11" t="n"/>
      <c r="AW15" s="11" t="inlineStr">
        <is>
          <t>土</t>
        </is>
      </c>
      <c r="AX15" s="26" t="n"/>
      <c r="AY15" s="13" t="n">
        <v>12</v>
      </c>
      <c r="AZ15" s="13" t="n"/>
      <c r="BA15" s="13" t="n"/>
      <c r="BB15" s="11" t="inlineStr">
        <is>
          <t>土</t>
        </is>
      </c>
      <c r="BC15" s="276" t="n"/>
    </row>
    <row r="16" ht="26.25" customHeight="1">
      <c r="B16" s="147" t="n">
        <v>13</v>
      </c>
      <c r="C16" s="274" t="inlineStr">
        <is>
          <t>●</t>
        </is>
      </c>
      <c r="D16" s="148" t="n"/>
      <c r="E16" s="131" t="inlineStr">
        <is>
          <t>火</t>
        </is>
      </c>
      <c r="F16" s="149" t="n"/>
      <c r="G16" s="37" t="n">
        <v>13</v>
      </c>
      <c r="H16" s="85" t="inlineStr">
        <is>
          <t>●</t>
        </is>
      </c>
      <c r="I16" s="85" t="inlineStr">
        <is>
          <t>木</t>
        </is>
      </c>
      <c r="J16" s="127" t="inlineStr">
        <is>
          <t>職員会議　　内科検診①②③④</t>
        </is>
      </c>
      <c r="K16" s="150" t="n">
        <v>13</v>
      </c>
      <c r="L16" s="150" t="n"/>
      <c r="M16" s="150" t="inlineStr">
        <is>
          <t>日</t>
        </is>
      </c>
      <c r="N16" s="14" t="n"/>
      <c r="O16" s="37" t="n">
        <v>13</v>
      </c>
      <c r="P16" s="85" t="inlineStr">
        <is>
          <t>●</t>
        </is>
      </c>
      <c r="Q16" s="85" t="n"/>
      <c r="R16" s="85" t="inlineStr">
        <is>
          <t>火</t>
        </is>
      </c>
      <c r="S16" s="163" t="inlineStr">
        <is>
          <t>短縮時間割40x4)　教科会　　あいさつ運動</t>
        </is>
      </c>
      <c r="T16" s="89" t="n">
        <v>13</v>
      </c>
      <c r="U16" s="90" t="n"/>
      <c r="V16" s="90" t="inlineStr">
        <is>
          <t>〇</t>
        </is>
      </c>
      <c r="W16" s="90" t="inlineStr">
        <is>
          <t>金</t>
        </is>
      </c>
      <c r="X16" s="258" t="inlineStr">
        <is>
          <t>学校閉庁日</t>
        </is>
      </c>
      <c r="Y16" s="110" t="n">
        <v>13</v>
      </c>
      <c r="Z16" s="153" t="inlineStr">
        <is>
          <t>●</t>
        </is>
      </c>
      <c r="AA16" s="85" t="inlineStr">
        <is>
          <t>月</t>
        </is>
      </c>
      <c r="AB16" s="142" t="n"/>
      <c r="AC16" s="116" t="n">
        <v>13</v>
      </c>
      <c r="AD16" s="113" t="inlineStr">
        <is>
          <t>●</t>
        </is>
      </c>
      <c r="AE16" s="97" t="inlineStr">
        <is>
          <t>水</t>
        </is>
      </c>
      <c r="AF16" s="98" t="n"/>
      <c r="AG16" s="18" t="n">
        <v>13</v>
      </c>
      <c r="AH16" s="18" t="inlineStr">
        <is>
          <t>●</t>
        </is>
      </c>
      <c r="AI16" s="13" t="inlineStr">
        <is>
          <t>土</t>
        </is>
      </c>
      <c r="AJ16" s="20" t="inlineStr">
        <is>
          <t>学校説明会</t>
        </is>
      </c>
      <c r="AK16" s="97" t="n">
        <v>13</v>
      </c>
      <c r="AL16" s="97" t="inlineStr">
        <is>
          <t>●</t>
        </is>
      </c>
      <c r="AM16" s="97" t="n"/>
      <c r="AN16" s="37" t="inlineStr">
        <is>
          <t>月</t>
        </is>
      </c>
      <c r="AO16" s="121" t="inlineStr">
        <is>
          <t xml:space="preserve">短縮時間割40x4　教科会　</t>
        </is>
      </c>
      <c r="AP16" s="87" t="n">
        <v>13</v>
      </c>
      <c r="AQ16" s="87" t="inlineStr">
        <is>
          <t>●</t>
        </is>
      </c>
      <c r="AR16" s="87" t="n"/>
      <c r="AS16" s="97" t="inlineStr">
        <is>
          <t>木</t>
        </is>
      </c>
      <c r="AT16" s="133" t="n"/>
      <c r="AU16" s="13" t="n">
        <v>13</v>
      </c>
      <c r="AV16" s="13" t="n"/>
      <c r="AW16" s="11" t="inlineStr">
        <is>
          <t>日</t>
        </is>
      </c>
      <c r="AX16" s="29" t="n"/>
      <c r="AY16" s="13" t="n">
        <v>13</v>
      </c>
      <c r="AZ16" s="13" t="n"/>
      <c r="BA16" s="13" t="n"/>
      <c r="BB16" s="11" t="inlineStr">
        <is>
          <t>日</t>
        </is>
      </c>
      <c r="BC16" s="28" t="n"/>
    </row>
    <row r="17" ht="31.5" customHeight="1" thickBot="1">
      <c r="B17" s="129" t="n">
        <v>14</v>
      </c>
      <c r="C17" s="246" t="inlineStr">
        <is>
          <t>●</t>
        </is>
      </c>
      <c r="D17" s="130" t="n"/>
      <c r="E17" s="131" t="inlineStr">
        <is>
          <t>水</t>
        </is>
      </c>
      <c r="F17" s="133" t="n"/>
      <c r="G17" s="37" t="n">
        <v>14</v>
      </c>
      <c r="H17" s="85" t="inlineStr">
        <is>
          <t>●</t>
        </is>
      </c>
      <c r="I17" s="85" t="inlineStr">
        <is>
          <t>金</t>
        </is>
      </c>
      <c r="J17" s="127" t="inlineStr">
        <is>
          <t>教育実習オリエンテーション</t>
        </is>
      </c>
      <c r="K17" s="274" t="n">
        <v>14</v>
      </c>
      <c r="L17" s="97" t="inlineStr">
        <is>
          <t>●</t>
        </is>
      </c>
      <c r="M17" s="246" t="inlineStr">
        <is>
          <t>月</t>
        </is>
      </c>
      <c r="N17" s="324" t="inlineStr">
        <is>
          <t>面談週間40分授業（～6・28）　④小論文模試（3年）
学部・学科研究（2年武道場）　スタサポ振り返り（1年体育館）あいさつ運動</t>
        </is>
      </c>
      <c r="O17" s="92" t="n">
        <v>14</v>
      </c>
      <c r="P17" s="85" t="inlineStr">
        <is>
          <t>●</t>
        </is>
      </c>
      <c r="Q17" s="85" t="n"/>
      <c r="R17" s="85" t="inlineStr">
        <is>
          <t>水</t>
        </is>
      </c>
      <c r="S17" s="141" t="inlineStr">
        <is>
          <t xml:space="preserve">短縮時間割40x4　ﾃﾞｰﾀ点検　成績入力締切　
個票提出　　　</t>
        </is>
      </c>
      <c r="T17" s="89" t="n">
        <v>14</v>
      </c>
      <c r="U17" s="90" t="n"/>
      <c r="V17" s="90" t="inlineStr">
        <is>
          <t>〇</t>
        </is>
      </c>
      <c r="W17" s="90" t="inlineStr">
        <is>
          <t>土</t>
        </is>
      </c>
      <c r="X17" s="115" t="n"/>
      <c r="Y17" s="116" t="n">
        <v>14</v>
      </c>
      <c r="Z17" s="153" t="inlineStr">
        <is>
          <t>●</t>
        </is>
      </c>
      <c r="AA17" s="85" t="inlineStr">
        <is>
          <t>火</t>
        </is>
      </c>
      <c r="AB17" s="270" t="inlineStr">
        <is>
          <t>第１回推薦会議①　４０×６</t>
        </is>
      </c>
      <c r="AC17" s="110" t="n">
        <v>14</v>
      </c>
      <c r="AD17" s="87" t="inlineStr">
        <is>
          <t>●</t>
        </is>
      </c>
      <c r="AE17" s="97" t="inlineStr">
        <is>
          <t>木</t>
        </is>
      </c>
      <c r="AF17" s="88" t="inlineStr">
        <is>
          <t>40ｘ6</t>
        </is>
      </c>
      <c r="AG17" s="13" t="n">
        <v>14</v>
      </c>
      <c r="AH17" s="13" t="n"/>
      <c r="AI17" s="13" t="inlineStr">
        <is>
          <t>日</t>
        </is>
      </c>
      <c r="AJ17" s="137" t="n"/>
      <c r="AK17" s="97" t="n">
        <v>14</v>
      </c>
      <c r="AL17" s="97" t="inlineStr">
        <is>
          <t>●</t>
        </is>
      </c>
      <c r="AM17" s="97" t="n"/>
      <c r="AN17" s="37" t="inlineStr">
        <is>
          <t>火</t>
        </is>
      </c>
      <c r="AO17" s="121" t="inlineStr">
        <is>
          <t>短縮時間割40x4　データ点検（1.2年）</t>
        </is>
      </c>
      <c r="AP17" s="87" t="n">
        <v>14</v>
      </c>
      <c r="AQ17" s="87" t="inlineStr">
        <is>
          <t>●</t>
        </is>
      </c>
      <c r="AR17" s="87" t="n"/>
      <c r="AS17" s="97" t="inlineStr">
        <is>
          <t>金</t>
        </is>
      </c>
      <c r="AT17" s="154" t="n"/>
      <c r="AU17" s="97" t="n">
        <v>14</v>
      </c>
      <c r="AV17" s="97" t="inlineStr">
        <is>
          <t>●</t>
        </is>
      </c>
      <c r="AW17" s="37" t="inlineStr">
        <is>
          <t>月</t>
        </is>
      </c>
      <c r="AX17" s="277" t="inlineStr">
        <is>
          <t>午前授業3時間+大掃除
午後入選準備？</t>
        </is>
      </c>
      <c r="AY17" s="97" t="n">
        <v>14</v>
      </c>
      <c r="AZ17" s="97" t="inlineStr">
        <is>
          <t>●</t>
        </is>
      </c>
      <c r="BA17" s="97" t="n"/>
      <c r="BB17" s="37" t="inlineStr">
        <is>
          <t>月</t>
        </is>
      </c>
      <c r="BC17" s="157" t="inlineStr">
        <is>
          <t>特別時間割40x3　　
欠時・素点票配布　合格者説明会　（仮）</t>
        </is>
      </c>
    </row>
    <row r="18" ht="26.25" customHeight="1">
      <c r="B18" s="129" t="n">
        <v>15</v>
      </c>
      <c r="C18" s="246" t="inlineStr">
        <is>
          <t>●</t>
        </is>
      </c>
      <c r="D18" s="130" t="n"/>
      <c r="E18" s="131" t="inlineStr">
        <is>
          <t>木</t>
        </is>
      </c>
      <c r="F18" s="156" t="inlineStr">
        <is>
          <t>1・2年スタディーサポート・3年模試　全日</t>
        </is>
      </c>
      <c r="G18" s="11" t="n">
        <v>15</v>
      </c>
      <c r="H18" s="9" t="inlineStr">
        <is>
          <t>●</t>
        </is>
      </c>
      <c r="I18" s="9" t="inlineStr">
        <is>
          <t>土</t>
        </is>
      </c>
      <c r="J18" s="41" t="inlineStr">
        <is>
          <t>ＰＴＡ総会</t>
        </is>
      </c>
      <c r="K18" s="97" t="n">
        <v>15</v>
      </c>
      <c r="L18" s="97" t="inlineStr">
        <is>
          <t>●</t>
        </is>
      </c>
      <c r="M18" s="37" t="inlineStr">
        <is>
          <t>火</t>
        </is>
      </c>
      <c r="N18" s="125" t="inlineStr">
        <is>
          <t xml:space="preserve">短縮40分×４、3年40分×2　学年・学級懇談会　　</t>
        </is>
      </c>
      <c r="O18" s="37" t="n">
        <v>15</v>
      </c>
      <c r="P18" s="151" t="inlineStr">
        <is>
          <t>●</t>
        </is>
      </c>
      <c r="Q18" s="151" t="n"/>
      <c r="R18" s="85" t="inlineStr">
        <is>
          <t>木</t>
        </is>
      </c>
      <c r="S18" s="152" t="inlineStr">
        <is>
          <t>短縮時間割40x4　成績一斉点検</t>
        </is>
      </c>
      <c r="T18" s="89" t="n">
        <v>15</v>
      </c>
      <c r="U18" s="90" t="n"/>
      <c r="V18" s="90" t="inlineStr">
        <is>
          <t>〇</t>
        </is>
      </c>
      <c r="W18" s="90" t="inlineStr">
        <is>
          <t>日</t>
        </is>
      </c>
      <c r="X18" s="258" t="n"/>
      <c r="Y18" s="116" t="n">
        <v>15</v>
      </c>
      <c r="Z18" s="153" t="inlineStr">
        <is>
          <t>●</t>
        </is>
      </c>
      <c r="AA18" s="85" t="inlineStr">
        <is>
          <t>水</t>
        </is>
      </c>
      <c r="AB18" s="278" t="inlineStr">
        <is>
          <t>第１回推薦会議②　４０×６</t>
        </is>
      </c>
      <c r="AC18" s="110" t="n">
        <v>15</v>
      </c>
      <c r="AD18" s="87" t="inlineStr">
        <is>
          <t>●</t>
        </is>
      </c>
      <c r="AE18" s="97" t="inlineStr">
        <is>
          <t>金</t>
        </is>
      </c>
      <c r="AF18" s="88" t="inlineStr">
        <is>
          <t>中間テスト</t>
        </is>
      </c>
      <c r="AG18" s="97" t="n">
        <v>15</v>
      </c>
      <c r="AH18" s="113" t="inlineStr">
        <is>
          <t>●</t>
        </is>
      </c>
      <c r="AI18" s="97" t="inlineStr">
        <is>
          <t>月</t>
        </is>
      </c>
      <c r="AJ18" s="277" t="inlineStr">
        <is>
          <t xml:space="preserve"> ④職業ガイダンス（１年）</t>
        </is>
      </c>
      <c r="AK18" s="97" t="n">
        <v>15</v>
      </c>
      <c r="AL18" s="97" t="inlineStr">
        <is>
          <t>●</t>
        </is>
      </c>
      <c r="AM18" s="97" t="n"/>
      <c r="AN18" s="37" t="inlineStr">
        <is>
          <t>水</t>
        </is>
      </c>
      <c r="AO18" s="134" t="inlineStr">
        <is>
          <t>短縮時間割40x4 　　
データ点検（3年）・成績入力〆切</t>
        </is>
      </c>
      <c r="AP18" s="12" t="n">
        <v>15</v>
      </c>
      <c r="AQ18" s="12" t="inlineStr">
        <is>
          <t>●</t>
        </is>
      </c>
      <c r="AR18" s="12" t="n"/>
      <c r="AS18" s="13" t="inlineStr">
        <is>
          <t>土</t>
        </is>
      </c>
      <c r="AT18" s="174" t="inlineStr">
        <is>
          <t>共通テスト</t>
        </is>
      </c>
      <c r="AU18" s="97" t="n">
        <v>15</v>
      </c>
      <c r="AV18" s="97" t="n"/>
      <c r="AW18" s="37" t="inlineStr">
        <is>
          <t>火</t>
        </is>
      </c>
      <c r="AX18" s="156" t="inlineStr">
        <is>
          <t>入試？</t>
        </is>
      </c>
      <c r="AY18" s="97" t="n">
        <v>15</v>
      </c>
      <c r="AZ18" s="97" t="inlineStr">
        <is>
          <t>●</t>
        </is>
      </c>
      <c r="BA18" s="97" t="n"/>
      <c r="BB18" s="37" t="inlineStr">
        <is>
          <t>火</t>
        </is>
      </c>
      <c r="BC18" s="157" t="inlineStr">
        <is>
          <t xml:space="preserve">短縮時間割40x4　１・2年：合唱祭（仮）
教科会　</t>
        </is>
      </c>
      <c r="BD18" s="74" t="inlineStr">
        <is>
          <t>１６日→</t>
        </is>
      </c>
      <c r="BE18" s="158" t="n"/>
      <c r="BF18" s="159" t="inlineStr">
        <is>
          <t>１年</t>
        </is>
      </c>
      <c r="BG18" s="160" t="inlineStr">
        <is>
          <t>２年</t>
        </is>
      </c>
    </row>
    <row r="19" ht="37.5" customHeight="1">
      <c r="B19" s="129" t="n">
        <v>16</v>
      </c>
      <c r="C19" s="246" t="inlineStr">
        <is>
          <t>●</t>
        </is>
      </c>
      <c r="D19" s="130" t="n"/>
      <c r="E19" s="131" t="inlineStr">
        <is>
          <t>金</t>
        </is>
      </c>
      <c r="F19" s="163" t="inlineStr">
        <is>
          <t>40分×７　⑤ＬＨＲ
体育祭会計担当者会議</t>
        </is>
      </c>
      <c r="G19" s="11" t="n">
        <v>16</v>
      </c>
      <c r="H19" s="9" t="n"/>
      <c r="I19" s="9" t="inlineStr">
        <is>
          <t>日</t>
        </is>
      </c>
      <c r="J19" s="46" t="n"/>
      <c r="K19" s="37" t="n">
        <v>16</v>
      </c>
      <c r="L19" s="37" t="inlineStr">
        <is>
          <t>●</t>
        </is>
      </c>
      <c r="M19" s="37" t="inlineStr">
        <is>
          <t>水</t>
        </is>
      </c>
      <c r="N19" s="125" t="n"/>
      <c r="O19" s="37" t="n">
        <v>16</v>
      </c>
      <c r="P19" s="85" t="inlineStr">
        <is>
          <t>●</t>
        </is>
      </c>
      <c r="Q19" s="85" t="n"/>
      <c r="R19" s="85" t="inlineStr">
        <is>
          <t>金</t>
        </is>
      </c>
      <c r="S19" s="141" t="inlineStr">
        <is>
          <t>クラスマッチ　　学年会　一覧表点検・提出
遅刻ゼロの日</t>
        </is>
      </c>
      <c r="T19" s="89" t="n">
        <v>16</v>
      </c>
      <c r="U19" s="90" t="n"/>
      <c r="V19" s="90" t="inlineStr">
        <is>
          <t>〇</t>
        </is>
      </c>
      <c r="W19" s="90" t="inlineStr">
        <is>
          <t>月</t>
        </is>
      </c>
      <c r="X19" s="115" t="inlineStr">
        <is>
          <t>夏期講習・補習</t>
        </is>
      </c>
      <c r="Y19" s="110" t="n">
        <v>16</v>
      </c>
      <c r="Z19" s="85" t="inlineStr">
        <is>
          <t>●</t>
        </is>
      </c>
      <c r="AA19" s="85" t="inlineStr">
        <is>
          <t>木</t>
        </is>
      </c>
      <c r="AB19" s="279" t="inlineStr">
        <is>
          <t>④3年推薦会議結果通知　　　　　　　　　　　　　　公示・立候補受付（9/22まで）</t>
        </is>
      </c>
      <c r="AC19" s="245" t="n">
        <v>16</v>
      </c>
      <c r="AD19" s="18" t="n"/>
      <c r="AE19" s="13" t="inlineStr">
        <is>
          <t>土</t>
        </is>
      </c>
      <c r="AF19" s="20" t="n"/>
      <c r="AG19" s="113" t="n">
        <v>16</v>
      </c>
      <c r="AH19" s="113" t="inlineStr">
        <is>
          <t>●</t>
        </is>
      </c>
      <c r="AI19" s="97" t="inlineStr">
        <is>
          <t>火</t>
        </is>
      </c>
      <c r="AJ19" s="88" t="inlineStr">
        <is>
          <t>2年学力調査</t>
        </is>
      </c>
      <c r="AK19" s="37" t="n">
        <v>16</v>
      </c>
      <c r="AL19" s="37" t="inlineStr">
        <is>
          <t>●</t>
        </is>
      </c>
      <c r="AM19" s="97" t="n"/>
      <c r="AN19" s="37" t="inlineStr">
        <is>
          <t>木</t>
        </is>
      </c>
      <c r="AO19" s="134" t="inlineStr">
        <is>
          <t>短縮時間割40x4　　成績一斉点検　遅刻ゼロの日</t>
        </is>
      </c>
      <c r="AP19" s="12" t="n">
        <v>16</v>
      </c>
      <c r="AQ19" s="12" t="n"/>
      <c r="AR19" s="12" t="n"/>
      <c r="AS19" s="13" t="inlineStr">
        <is>
          <t>日</t>
        </is>
      </c>
      <c r="AT19" s="143" t="inlineStr">
        <is>
          <t>共通テスト</t>
        </is>
      </c>
      <c r="AU19" s="97" t="n">
        <v>16</v>
      </c>
      <c r="AV19" s="97" t="n"/>
      <c r="AW19" s="37" t="inlineStr">
        <is>
          <t>水</t>
        </is>
      </c>
      <c r="AX19" s="124" t="n"/>
      <c r="AY19" s="37" t="n">
        <v>16</v>
      </c>
      <c r="AZ19" s="37" t="inlineStr">
        <is>
          <t>●</t>
        </is>
      </c>
      <c r="BA19" s="37" t="n"/>
      <c r="BB19" s="37" t="inlineStr">
        <is>
          <t>水</t>
        </is>
      </c>
      <c r="BC19" s="167" t="inlineStr">
        <is>
          <t xml:space="preserve">短縮時間割40x4　データ点検・成績入力〆切①　②模試振返り体育館）総合③④分野別説明会（1年）　①②③総合④模試振返り（体育館）（2年）　</t>
        </is>
      </c>
      <c r="BE19" s="161" t="n">
        <v>1</v>
      </c>
      <c r="BF19" s="48" t="inlineStr">
        <is>
          <t>総合</t>
        </is>
      </c>
      <c r="BG19" s="162" t="inlineStr">
        <is>
          <t>総合</t>
        </is>
      </c>
    </row>
    <row r="20" ht="26.25" customHeight="1">
      <c r="B20" s="43" t="n">
        <v>17</v>
      </c>
      <c r="C20" s="150" t="n"/>
      <c r="D20" s="120" t="n"/>
      <c r="E20" s="44" t="inlineStr">
        <is>
          <t>土</t>
        </is>
      </c>
      <c r="F20" s="45" t="n"/>
      <c r="G20" s="37" t="n">
        <v>17</v>
      </c>
      <c r="H20" s="85" t="inlineStr">
        <is>
          <t>●</t>
        </is>
      </c>
      <c r="I20" s="85" t="inlineStr">
        <is>
          <t>月</t>
        </is>
      </c>
      <c r="J20" s="127" t="inlineStr">
        <is>
          <t>④小論文学習（3年）</t>
        </is>
      </c>
      <c r="K20" s="37" t="n">
        <v>17</v>
      </c>
      <c r="L20" s="37" t="inlineStr">
        <is>
          <t>●</t>
        </is>
      </c>
      <c r="M20" s="37" t="inlineStr">
        <is>
          <t>木</t>
        </is>
      </c>
      <c r="N20" s="164" t="inlineStr">
        <is>
          <t>歯科検診①②③④
鴻志祭２次企画書クラTデザイン届提出〆切</t>
        </is>
      </c>
      <c r="O20" s="11" t="n">
        <v>17</v>
      </c>
      <c r="P20" s="9" t="n"/>
      <c r="Q20" s="9" t="n"/>
      <c r="R20" s="9" t="inlineStr">
        <is>
          <t>土</t>
        </is>
      </c>
      <c r="S20" s="45" t="inlineStr">
        <is>
          <t>ＰＴＡ役員会・運営委員会</t>
        </is>
      </c>
      <c r="T20" s="100" t="n">
        <v>17</v>
      </c>
      <c r="U20" s="165" t="n"/>
      <c r="V20" s="165" t="inlineStr">
        <is>
          <t>〇</t>
        </is>
      </c>
      <c r="W20" s="90" t="inlineStr">
        <is>
          <t>火</t>
        </is>
      </c>
      <c r="X20" s="115" t="inlineStr">
        <is>
          <t>夏期講習・補習</t>
        </is>
      </c>
      <c r="Y20" s="110" t="n">
        <v>17</v>
      </c>
      <c r="Z20" s="85" t="inlineStr">
        <is>
          <t>●</t>
        </is>
      </c>
      <c r="AA20" s="85" t="inlineStr">
        <is>
          <t>金</t>
        </is>
      </c>
      <c r="AB20" s="166" t="inlineStr">
        <is>
          <t>職員会議　遅刻ゼロの日</t>
        </is>
      </c>
      <c r="AC20" s="23" t="n">
        <v>17</v>
      </c>
      <c r="AD20" s="12" t="n"/>
      <c r="AE20" s="13" t="inlineStr">
        <is>
          <t>日</t>
        </is>
      </c>
      <c r="AF20" s="20" t="n"/>
      <c r="AG20" s="113" t="n">
        <v>17</v>
      </c>
      <c r="AH20" s="113" t="inlineStr">
        <is>
          <t>●</t>
        </is>
      </c>
      <c r="AI20" s="97" t="inlineStr">
        <is>
          <t>水</t>
        </is>
      </c>
      <c r="AJ20" s="88" t="n"/>
      <c r="AK20" s="37" t="n">
        <v>17</v>
      </c>
      <c r="AL20" s="37" t="inlineStr">
        <is>
          <t>●</t>
        </is>
      </c>
      <c r="AM20" s="37" t="n"/>
      <c r="AN20" s="37" t="inlineStr">
        <is>
          <t>金</t>
        </is>
      </c>
      <c r="AO20" s="39" t="inlineStr">
        <is>
          <t>短縮時間割40x4 　学年会・一覧表点検・提出</t>
        </is>
      </c>
      <c r="AP20" s="113" t="n">
        <v>17</v>
      </c>
      <c r="AQ20" s="113" t="inlineStr">
        <is>
          <t>●</t>
        </is>
      </c>
      <c r="AR20" s="113" t="n"/>
      <c r="AS20" s="97" t="inlineStr">
        <is>
          <t>月</t>
        </is>
      </c>
      <c r="AT20" s="154" t="inlineStr">
        <is>
          <t>③④3年共通テストデータリサーチ</t>
        </is>
      </c>
      <c r="AU20" s="37" t="n">
        <v>17</v>
      </c>
      <c r="AV20" s="37" t="n"/>
      <c r="AW20" s="37" t="inlineStr">
        <is>
          <t>木</t>
        </is>
      </c>
      <c r="AX20" s="124" t="n"/>
      <c r="AY20" s="37" t="n">
        <v>17</v>
      </c>
      <c r="AZ20" s="37" t="inlineStr">
        <is>
          <t>●</t>
        </is>
      </c>
      <c r="BA20" s="37" t="n"/>
      <c r="BB20" s="37" t="inlineStr">
        <is>
          <t>木</t>
        </is>
      </c>
      <c r="BC20" s="167" t="inlineStr">
        <is>
          <t xml:space="preserve">短縮時間割40x4　出欠差分入力①　　成績一斉点検　個票提出①～④修学学旅行事前学習（1年）　①②総合③④分野別説明会（2年）　　　　　　　　　　　　　　　</t>
        </is>
      </c>
      <c r="BE20" s="161" t="n">
        <v>2</v>
      </c>
      <c r="BF20" s="280" t="inlineStr">
        <is>
          <t>模試振返り</t>
        </is>
      </c>
      <c r="BG20" s="162" t="inlineStr">
        <is>
          <t>総合</t>
        </is>
      </c>
    </row>
    <row r="21" ht="26.25" customHeight="1" thickBot="1">
      <c r="B21" s="43" t="n">
        <v>18</v>
      </c>
      <c r="C21" s="150" t="n"/>
      <c r="D21" s="120" t="n"/>
      <c r="E21" s="44" t="inlineStr">
        <is>
          <t>日</t>
        </is>
      </c>
      <c r="F21" s="146" t="n"/>
      <c r="G21" s="37" t="n">
        <v>18</v>
      </c>
      <c r="H21" s="85" t="inlineStr">
        <is>
          <t>●</t>
        </is>
      </c>
      <c r="I21" s="85" t="inlineStr">
        <is>
          <t>火</t>
        </is>
      </c>
      <c r="J21" s="88" t="inlineStr">
        <is>
          <t>40ｘ6</t>
        </is>
      </c>
      <c r="K21" s="37" t="n">
        <v>18</v>
      </c>
      <c r="L21" s="37" t="inlineStr">
        <is>
          <t>●</t>
        </is>
      </c>
      <c r="M21" s="37" t="inlineStr">
        <is>
          <t>金</t>
        </is>
      </c>
      <c r="N21" s="121" t="inlineStr">
        <is>
          <t>遅刻ゼロの日</t>
        </is>
      </c>
      <c r="O21" s="11" t="n">
        <v>18</v>
      </c>
      <c r="P21" s="9" t="n"/>
      <c r="Q21" s="9" t="n"/>
      <c r="R21" s="9" t="inlineStr">
        <is>
          <t>日</t>
        </is>
      </c>
      <c r="S21" s="19" t="n"/>
      <c r="T21" s="100" t="n">
        <v>18</v>
      </c>
      <c r="U21" s="165" t="n"/>
      <c r="V21" s="165" t="inlineStr">
        <is>
          <t>〇</t>
        </is>
      </c>
      <c r="W21" s="90" t="inlineStr">
        <is>
          <t>水</t>
        </is>
      </c>
      <c r="X21" s="115" t="inlineStr">
        <is>
          <t>夏期講習・補習</t>
        </is>
      </c>
      <c r="Y21" s="245" t="n">
        <v>18</v>
      </c>
      <c r="Z21" s="9" t="n"/>
      <c r="AA21" s="9" t="inlineStr">
        <is>
          <t>土</t>
        </is>
      </c>
      <c r="AB21" s="25" t="n"/>
      <c r="AC21" s="116" t="n">
        <v>18</v>
      </c>
      <c r="AD21" s="113" t="inlineStr">
        <is>
          <t>●</t>
        </is>
      </c>
      <c r="AE21" s="97" t="inlineStr">
        <is>
          <t>月</t>
        </is>
      </c>
      <c r="AF21" s="88" t="inlineStr">
        <is>
          <t>中間テスト</t>
        </is>
      </c>
      <c r="AG21" s="87" t="n">
        <v>18</v>
      </c>
      <c r="AH21" s="87" t="inlineStr">
        <is>
          <t>●</t>
        </is>
      </c>
      <c r="AI21" s="97" t="inlineStr">
        <is>
          <t>木</t>
        </is>
      </c>
      <c r="AJ21" s="134" t="inlineStr">
        <is>
          <t>職員会議</t>
        </is>
      </c>
      <c r="AK21" s="11" t="n">
        <v>18</v>
      </c>
      <c r="AL21" s="11" t="n"/>
      <c r="AM21" s="11" t="n"/>
      <c r="AN21" s="11" t="inlineStr">
        <is>
          <t>土</t>
        </is>
      </c>
      <c r="AO21" s="281" t="n"/>
      <c r="AP21" s="113" t="n">
        <v>18</v>
      </c>
      <c r="AQ21" s="113" t="inlineStr">
        <is>
          <t>●</t>
        </is>
      </c>
      <c r="AR21" s="113" t="n"/>
      <c r="AS21" s="97" t="inlineStr">
        <is>
          <t>火</t>
        </is>
      </c>
      <c r="AT21" s="154" t="inlineStr">
        <is>
          <t>3年午前授業</t>
        </is>
      </c>
      <c r="AU21" s="37" t="n">
        <v>18</v>
      </c>
      <c r="AV21" s="37" t="n"/>
      <c r="AW21" s="37" t="inlineStr">
        <is>
          <t>金</t>
        </is>
      </c>
      <c r="AX21" s="124" t="n"/>
      <c r="AY21" s="37" t="n">
        <v>18</v>
      </c>
      <c r="AZ21" s="37" t="inlineStr">
        <is>
          <t>●</t>
        </is>
      </c>
      <c r="BA21" s="37" t="n"/>
      <c r="BB21" s="37" t="inlineStr">
        <is>
          <t>金</t>
        </is>
      </c>
      <c r="BC21" s="157" t="inlineStr">
        <is>
          <t>クラスマッチ(球技大会)　学年会　一覧表提出　
遅刻ゼロの日</t>
        </is>
      </c>
      <c r="BE21" s="161" t="n">
        <v>3</v>
      </c>
      <c r="BF21" s="171" t="inlineStr">
        <is>
          <t>分野別</t>
        </is>
      </c>
      <c r="BG21" s="162" t="inlineStr">
        <is>
          <t>総合</t>
        </is>
      </c>
    </row>
    <row r="22" ht="26.25" customHeight="1" thickBot="1">
      <c r="B22" s="147" t="n">
        <v>19</v>
      </c>
      <c r="C22" s="274" t="inlineStr">
        <is>
          <t>●</t>
        </is>
      </c>
      <c r="D22" s="148" t="n"/>
      <c r="E22" s="131" t="inlineStr">
        <is>
          <t>月</t>
        </is>
      </c>
      <c r="F22" s="139" t="inlineStr">
        <is>
          <t>④予約奨学金・共通テスト説明会（3年体育館）1年LHR　１次企画検討</t>
        </is>
      </c>
      <c r="G22" s="37" t="n">
        <v>19</v>
      </c>
      <c r="H22" s="85" t="inlineStr">
        <is>
          <t>●</t>
        </is>
      </c>
      <c r="I22" s="85" t="inlineStr">
        <is>
          <t>水</t>
        </is>
      </c>
      <c r="J22" s="98" t="inlineStr">
        <is>
          <t>中間テスト</t>
        </is>
      </c>
      <c r="K22" s="11" t="n">
        <v>19</v>
      </c>
      <c r="L22" s="11" t="n"/>
      <c r="M22" s="11" t="inlineStr">
        <is>
          <t>土</t>
        </is>
      </c>
      <c r="N22" s="42" t="n"/>
      <c r="O22" s="37" t="n">
        <v>19</v>
      </c>
      <c r="P22" s="85" t="inlineStr">
        <is>
          <t>●</t>
        </is>
      </c>
      <c r="Q22" s="85" t="n"/>
      <c r="R22" s="85" t="inlineStr">
        <is>
          <t>月</t>
        </is>
      </c>
      <c r="S22" s="133" t="inlineStr">
        <is>
          <t>クラスマッチ　　成績会議　職員会議</t>
        </is>
      </c>
      <c r="T22" s="89" t="n">
        <v>19</v>
      </c>
      <c r="U22" s="90" t="n"/>
      <c r="V22" s="90" t="inlineStr">
        <is>
          <t>〇</t>
        </is>
      </c>
      <c r="W22" s="90" t="inlineStr">
        <is>
          <t>木</t>
        </is>
      </c>
      <c r="X22" s="115" t="inlineStr">
        <is>
          <t>夏期講習・補習　学校説明会（麻生市民館）</t>
        </is>
      </c>
      <c r="Y22" s="245" t="n">
        <v>19</v>
      </c>
      <c r="Z22" s="9" t="n"/>
      <c r="AA22" s="9" t="inlineStr">
        <is>
          <t>日</t>
        </is>
      </c>
      <c r="AB22" s="169" t="n"/>
      <c r="AC22" s="116" t="n">
        <v>19</v>
      </c>
      <c r="AD22" s="113" t="inlineStr">
        <is>
          <t>●</t>
        </is>
      </c>
      <c r="AE22" s="97" t="inlineStr">
        <is>
          <t>火</t>
        </is>
      </c>
      <c r="AF22" s="88" t="inlineStr">
        <is>
          <t>中間テスト　総合防災訓練</t>
        </is>
      </c>
      <c r="AG22" s="87" t="n">
        <v>19</v>
      </c>
      <c r="AH22" s="87" t="inlineStr">
        <is>
          <t>●</t>
        </is>
      </c>
      <c r="AI22" s="97" t="inlineStr">
        <is>
          <t>金</t>
        </is>
      </c>
      <c r="AJ22" s="134" t="inlineStr">
        <is>
          <t>遅刻ゼロの日　公開授業・授業改善研修</t>
        </is>
      </c>
      <c r="AK22" s="13" t="n">
        <v>19</v>
      </c>
      <c r="AL22" s="13" t="n"/>
      <c r="AM22" s="11" t="n"/>
      <c r="AN22" s="11" t="inlineStr">
        <is>
          <t>日</t>
        </is>
      </c>
      <c r="AO22" s="29" t="n"/>
      <c r="AP22" s="87" t="n">
        <v>19</v>
      </c>
      <c r="AQ22" s="87" t="inlineStr">
        <is>
          <t>●</t>
        </is>
      </c>
      <c r="AR22" s="87" t="n"/>
      <c r="AS22" s="97" t="inlineStr">
        <is>
          <t>水</t>
        </is>
      </c>
      <c r="AT22" s="154" t="inlineStr">
        <is>
          <t>３年学年末テスト</t>
        </is>
      </c>
      <c r="AU22" s="11" t="n">
        <v>19</v>
      </c>
      <c r="AV22" s="11" t="n"/>
      <c r="AW22" s="11" t="inlineStr">
        <is>
          <t>土</t>
        </is>
      </c>
      <c r="AX22" s="14" t="n"/>
      <c r="AY22" s="13" t="n">
        <v>19</v>
      </c>
      <c r="AZ22" s="13" t="n"/>
      <c r="BA22" s="13" t="n"/>
      <c r="BB22" s="11" t="inlineStr">
        <is>
          <t>土</t>
        </is>
      </c>
      <c r="BC22" s="276" t="n"/>
      <c r="BE22" s="170" t="n">
        <v>4</v>
      </c>
      <c r="BF22" s="171" t="inlineStr">
        <is>
          <t>分野別</t>
        </is>
      </c>
      <c r="BG22" s="280" t="inlineStr">
        <is>
          <t>模試振返り</t>
        </is>
      </c>
    </row>
    <row r="23" ht="26.25" customHeight="1" thickBot="1">
      <c r="B23" s="147" t="n">
        <v>20</v>
      </c>
      <c r="C23" s="274" t="inlineStr">
        <is>
          <t>●</t>
        </is>
      </c>
      <c r="D23" s="148" t="n"/>
      <c r="E23" s="131" t="inlineStr">
        <is>
          <t>火</t>
        </is>
      </c>
      <c r="F23" s="149" t="n"/>
      <c r="G23" s="37" t="n">
        <v>20</v>
      </c>
      <c r="H23" s="85" t="inlineStr">
        <is>
          <t>●</t>
        </is>
      </c>
      <c r="I23" s="85" t="inlineStr">
        <is>
          <t>木</t>
        </is>
      </c>
      <c r="J23" s="39" t="inlineStr">
        <is>
          <t>中間テスト</t>
        </is>
      </c>
      <c r="K23" s="11" t="n">
        <v>20</v>
      </c>
      <c r="L23" s="11" t="n"/>
      <c r="M23" s="11" t="inlineStr">
        <is>
          <t>日</t>
        </is>
      </c>
      <c r="N23" s="46" t="n"/>
      <c r="O23" s="113" t="n">
        <v>20</v>
      </c>
      <c r="P23" s="85" t="inlineStr">
        <is>
          <t>●</t>
        </is>
      </c>
      <c r="Q23" s="85" t="n"/>
      <c r="R23" s="85" t="inlineStr">
        <is>
          <t>火</t>
        </is>
      </c>
      <c r="S23" s="125" t="inlineStr">
        <is>
          <t>短縮時間割40x4　　
通知表データ確認　調査書準備</t>
        </is>
      </c>
      <c r="T23" s="89" t="n">
        <v>20</v>
      </c>
      <c r="U23" s="90" t="n"/>
      <c r="V23" s="90" t="inlineStr">
        <is>
          <t>〇</t>
        </is>
      </c>
      <c r="W23" s="90" t="inlineStr">
        <is>
          <t>金</t>
        </is>
      </c>
      <c r="X23" s="179" t="inlineStr">
        <is>
          <t xml:space="preserve">夏期講習・補習
</t>
        </is>
      </c>
      <c r="Y23" s="245" t="n">
        <v>20</v>
      </c>
      <c r="Z23" s="9" t="n"/>
      <c r="AA23" s="9" t="inlineStr">
        <is>
          <t>月</t>
        </is>
      </c>
      <c r="AB23" s="27" t="inlineStr">
        <is>
          <t>敬老の日</t>
        </is>
      </c>
      <c r="AC23" s="116" t="n">
        <v>20</v>
      </c>
      <c r="AD23" s="113" t="inlineStr">
        <is>
          <t>●</t>
        </is>
      </c>
      <c r="AE23" s="97" t="inlineStr">
        <is>
          <t>水</t>
        </is>
      </c>
      <c r="AF23" s="124" t="inlineStr">
        <is>
          <t>職員会議</t>
        </is>
      </c>
      <c r="AG23" s="18" t="n">
        <v>20</v>
      </c>
      <c r="AH23" s="18" t="n"/>
      <c r="AI23" s="13" t="inlineStr">
        <is>
          <t>土</t>
        </is>
      </c>
      <c r="AJ23" s="20" t="n"/>
      <c r="AK23" s="97" t="n">
        <v>20</v>
      </c>
      <c r="AL23" s="97" t="inlineStr">
        <is>
          <t>●</t>
        </is>
      </c>
      <c r="AM23" s="97" t="n"/>
      <c r="AN23" s="37" t="inlineStr">
        <is>
          <t>月</t>
        </is>
      </c>
      <c r="AO23" s="176" t="inlineStr">
        <is>
          <t>短縮時間割40x4 成績会議・職員会議
調査書準備</t>
        </is>
      </c>
      <c r="AP23" s="87" t="n">
        <v>20</v>
      </c>
      <c r="AQ23" s="87" t="inlineStr">
        <is>
          <t>●</t>
        </is>
      </c>
      <c r="AR23" s="87" t="n"/>
      <c r="AS23" s="97" t="inlineStr">
        <is>
          <t>木</t>
        </is>
      </c>
      <c r="AT23" s="154" t="inlineStr">
        <is>
          <t>3年学年末テスト</t>
        </is>
      </c>
      <c r="AU23" s="13" t="n">
        <v>20</v>
      </c>
      <c r="AV23" s="13" t="n"/>
      <c r="AW23" s="11" t="inlineStr">
        <is>
          <t>日</t>
        </is>
      </c>
      <c r="AX23" s="29" t="n"/>
      <c r="AY23" s="13" t="n">
        <v>20</v>
      </c>
      <c r="AZ23" s="13" t="n"/>
      <c r="BA23" s="13" t="n"/>
      <c r="BB23" s="11" t="inlineStr">
        <is>
          <t>日</t>
        </is>
      </c>
      <c r="BC23" s="250" t="n"/>
    </row>
    <row r="24" ht="26.25" customHeight="1">
      <c r="B24" s="129" t="n">
        <v>21</v>
      </c>
      <c r="C24" s="246" t="inlineStr">
        <is>
          <t>●</t>
        </is>
      </c>
      <c r="D24" s="130" t="n"/>
      <c r="E24" s="131" t="inlineStr">
        <is>
          <t>水</t>
        </is>
      </c>
      <c r="F24" s="172" t="n"/>
      <c r="G24" s="37" t="n">
        <v>21</v>
      </c>
      <c r="H24" s="85" t="inlineStr">
        <is>
          <t>●</t>
        </is>
      </c>
      <c r="I24" s="85" t="inlineStr">
        <is>
          <t>金</t>
        </is>
      </c>
      <c r="J24" s="39" t="inlineStr">
        <is>
          <t>中間テスト
方面別集合訓練・体育祭準備集会❸</t>
        </is>
      </c>
      <c r="K24" s="37" t="n">
        <v>21</v>
      </c>
      <c r="L24" s="37" t="inlineStr">
        <is>
          <t>●</t>
        </is>
      </c>
      <c r="M24" s="37" t="inlineStr">
        <is>
          <t>月</t>
        </is>
      </c>
      <c r="N24" s="127" t="inlineStr">
        <is>
          <t>④模試振返り（3年体育館）　科目選択講演会　　（1年武道場）</t>
        </is>
      </c>
      <c r="O24" s="87" t="n">
        <v>21</v>
      </c>
      <c r="P24" s="97" t="inlineStr">
        <is>
          <t>●</t>
        </is>
      </c>
      <c r="Q24" s="249" t="n"/>
      <c r="R24" s="85" t="inlineStr">
        <is>
          <t>水</t>
        </is>
      </c>
      <c r="S24" s="262" t="inlineStr">
        <is>
          <t>大掃除・終業式・LHR　　　　　指定校公開１回目　　　　選択科目票提出　調査書点検①</t>
        </is>
      </c>
      <c r="T24" s="89" t="n">
        <v>21</v>
      </c>
      <c r="U24" s="90" t="n"/>
      <c r="V24" s="90" t="inlineStr">
        <is>
          <t>〇</t>
        </is>
      </c>
      <c r="W24" s="90" t="inlineStr">
        <is>
          <t>土</t>
        </is>
      </c>
      <c r="X24" s="179" t="n"/>
      <c r="Y24" s="110" t="n">
        <v>21</v>
      </c>
      <c r="Z24" s="85" t="inlineStr">
        <is>
          <t>●</t>
        </is>
      </c>
      <c r="AA24" s="85" t="inlineStr">
        <is>
          <t>火</t>
        </is>
      </c>
      <c r="AB24" s="282" t="inlineStr">
        <is>
          <t>第２回推薦願締切</t>
        </is>
      </c>
      <c r="AC24" s="110" t="n">
        <v>21</v>
      </c>
      <c r="AD24" s="87" t="inlineStr">
        <is>
          <t>●</t>
        </is>
      </c>
      <c r="AE24" s="97" t="inlineStr">
        <is>
          <t>木</t>
        </is>
      </c>
      <c r="AF24" s="124" t="inlineStr">
        <is>
          <t>公開授業に向けての教科会</t>
        </is>
      </c>
      <c r="AG24" s="13" t="n">
        <v>21</v>
      </c>
      <c r="AH24" s="13" t="n"/>
      <c r="AI24" s="13" t="inlineStr">
        <is>
          <t>日</t>
        </is>
      </c>
      <c r="AJ24" s="173" t="n"/>
      <c r="AK24" s="97" t="n">
        <v>21</v>
      </c>
      <c r="AL24" s="97" t="inlineStr">
        <is>
          <t>●</t>
        </is>
      </c>
      <c r="AM24" s="97" t="n"/>
      <c r="AN24" s="37" t="inlineStr">
        <is>
          <t>火</t>
        </is>
      </c>
      <c r="AO24" s="180" t="inlineStr">
        <is>
          <t>短縮時間割40ｘ４　通知表データ確認　調査書点検①</t>
        </is>
      </c>
      <c r="AP24" s="87" t="n">
        <v>21</v>
      </c>
      <c r="AQ24" s="87" t="inlineStr">
        <is>
          <t>●</t>
        </is>
      </c>
      <c r="AR24" s="87" t="n"/>
      <c r="AS24" s="97" t="inlineStr">
        <is>
          <t>金</t>
        </is>
      </c>
      <c r="AT24" s="139" t="inlineStr">
        <is>
          <t>3年午前授業　40ｘ6　3年成績処理
遅刻ゼロの日</t>
        </is>
      </c>
      <c r="AU24" s="97" t="n">
        <v>21</v>
      </c>
      <c r="AV24" s="97" t="n"/>
      <c r="AW24" s="37" t="inlineStr">
        <is>
          <t>月</t>
        </is>
      </c>
      <c r="AX24" s="155" t="n"/>
      <c r="AY24" s="13" t="n">
        <v>21</v>
      </c>
      <c r="AZ24" s="13" t="n"/>
      <c r="BA24" s="13" t="n"/>
      <c r="BB24" s="11" t="inlineStr">
        <is>
          <t>月</t>
        </is>
      </c>
      <c r="BC24" s="283" t="inlineStr">
        <is>
          <t>春分の日</t>
        </is>
      </c>
      <c r="BD24" s="74" t="inlineStr">
        <is>
          <t>１７日→</t>
        </is>
      </c>
      <c r="BE24" s="158" t="n"/>
      <c r="BF24" s="159" t="inlineStr">
        <is>
          <t>１年</t>
        </is>
      </c>
      <c r="BG24" s="160" t="inlineStr">
        <is>
          <t>２年</t>
        </is>
      </c>
    </row>
    <row r="25" ht="26.25" customHeight="1">
      <c r="B25" s="129" t="n">
        <v>22</v>
      </c>
      <c r="C25" s="246" t="inlineStr">
        <is>
          <t>●</t>
        </is>
      </c>
      <c r="D25" s="130" t="n"/>
      <c r="E25" s="131" t="inlineStr">
        <is>
          <t>木</t>
        </is>
      </c>
      <c r="F25" s="284" t="inlineStr">
        <is>
          <t>内科検診①②③④ 
④携帯電話教室（1年体育館）</t>
        </is>
      </c>
      <c r="G25" s="11" t="n">
        <v>22</v>
      </c>
      <c r="H25" s="9" t="n"/>
      <c r="I25" s="9" t="inlineStr">
        <is>
          <t>土</t>
        </is>
      </c>
      <c r="J25" s="183" t="n"/>
      <c r="K25" s="37" t="n">
        <v>22</v>
      </c>
      <c r="L25" s="37" t="inlineStr">
        <is>
          <t>●</t>
        </is>
      </c>
      <c r="M25" s="37" t="inlineStr">
        <is>
          <t>火</t>
        </is>
      </c>
      <c r="N25" s="124" t="n"/>
      <c r="O25" s="18" t="n">
        <v>22</v>
      </c>
      <c r="P25" s="11" t="n"/>
      <c r="Q25" s="244" t="inlineStr">
        <is>
          <t>〇</t>
        </is>
      </c>
      <c r="R25" s="9" t="inlineStr">
        <is>
          <t>木</t>
        </is>
      </c>
      <c r="S25" s="271" t="inlineStr">
        <is>
          <t>夏季休業開始 海の日</t>
        </is>
      </c>
      <c r="T25" s="89" t="n">
        <v>22</v>
      </c>
      <c r="U25" s="89" t="n"/>
      <c r="V25" s="89" t="inlineStr">
        <is>
          <t>〇</t>
        </is>
      </c>
      <c r="W25" s="89" t="inlineStr">
        <is>
          <t>日</t>
        </is>
      </c>
      <c r="X25" s="285" t="inlineStr">
        <is>
          <t>夏季休業終了</t>
        </is>
      </c>
      <c r="Y25" s="110" t="n">
        <v>22</v>
      </c>
      <c r="Z25" s="85" t="inlineStr">
        <is>
          <t>●</t>
        </is>
      </c>
      <c r="AA25" s="85" t="inlineStr">
        <is>
          <t>水</t>
        </is>
      </c>
      <c r="AB25" s="282" t="n"/>
      <c r="AC25" s="110" t="n">
        <v>22</v>
      </c>
      <c r="AD25" s="87" t="inlineStr">
        <is>
          <t>●</t>
        </is>
      </c>
      <c r="AE25" s="97" t="inlineStr">
        <is>
          <t>金</t>
        </is>
      </c>
      <c r="AF25" s="124" t="inlineStr">
        <is>
          <t xml:space="preserve">　遅刻ゼロの日</t>
        </is>
      </c>
      <c r="AG25" s="97" t="n">
        <v>22</v>
      </c>
      <c r="AH25" s="97" t="inlineStr">
        <is>
          <t>●</t>
        </is>
      </c>
      <c r="AI25" s="97" t="inlineStr">
        <is>
          <t>月</t>
        </is>
      </c>
      <c r="AJ25" s="277" t="inlineStr">
        <is>
          <t>④分野別説明会（２年)</t>
        </is>
      </c>
      <c r="AK25" s="97" t="n">
        <v>22</v>
      </c>
      <c r="AL25" s="97" t="inlineStr">
        <is>
          <t>●</t>
        </is>
      </c>
      <c r="AM25" s="97" t="n"/>
      <c r="AN25" s="37" t="inlineStr">
        <is>
          <t>水</t>
        </is>
      </c>
      <c r="AO25" s="184" t="inlineStr">
        <is>
          <t>大掃除・終業式・LHR　調査書点検②</t>
        </is>
      </c>
      <c r="AP25" s="12" t="n">
        <v>22</v>
      </c>
      <c r="AQ25" s="12" t="n"/>
      <c r="AR25" s="12" t="n"/>
      <c r="AS25" s="13" t="inlineStr">
        <is>
          <t>土</t>
        </is>
      </c>
      <c r="AT25" s="286" t="n"/>
      <c r="AU25" s="97" t="n">
        <v>22</v>
      </c>
      <c r="AV25" s="97" t="n"/>
      <c r="AW25" s="37" t="inlineStr">
        <is>
          <t>火</t>
        </is>
      </c>
      <c r="AX25" s="177" t="n"/>
      <c r="AY25" s="97" t="n">
        <v>22</v>
      </c>
      <c r="AZ25" s="97" t="inlineStr">
        <is>
          <t>●</t>
        </is>
      </c>
      <c r="BA25" s="97" t="n"/>
      <c r="BB25" s="37" t="inlineStr">
        <is>
          <t>火</t>
        </is>
      </c>
      <c r="BC25" s="178" t="inlineStr">
        <is>
          <t>クラスマッチ(球技大会)　　　　　　　
進級判定会議・職員会議</t>
        </is>
      </c>
      <c r="BE25" s="161" t="n">
        <v>1</v>
      </c>
      <c r="BF25" s="48" t="inlineStr">
        <is>
          <t>総合</t>
        </is>
      </c>
      <c r="BG25" s="162" t="inlineStr">
        <is>
          <t>総合</t>
        </is>
      </c>
    </row>
    <row r="26" ht="26.25" customHeight="1">
      <c r="B26" s="129" t="n">
        <v>23</v>
      </c>
      <c r="C26" s="246" t="inlineStr">
        <is>
          <t>●</t>
        </is>
      </c>
      <c r="D26" s="130" t="n"/>
      <c r="E26" s="131" t="inlineStr">
        <is>
          <t>金</t>
        </is>
      </c>
      <c r="F26" s="39" t="inlineStr">
        <is>
          <t>職員会議　遅刻ゼロの日</t>
        </is>
      </c>
      <c r="G26" s="11" t="n">
        <v>23</v>
      </c>
      <c r="H26" s="9" t="n"/>
      <c r="I26" s="9" t="inlineStr">
        <is>
          <t>日</t>
        </is>
      </c>
      <c r="J26" s="26" t="n"/>
      <c r="K26" s="92" t="n">
        <v>23</v>
      </c>
      <c r="L26" s="92" t="inlineStr">
        <is>
          <t>●</t>
        </is>
      </c>
      <c r="M26" s="37" t="inlineStr">
        <is>
          <t>水</t>
        </is>
      </c>
      <c r="N26" s="168" t="n"/>
      <c r="O26" s="18" t="n">
        <v>23</v>
      </c>
      <c r="P26" s="11" t="n"/>
      <c r="Q26" s="244" t="inlineStr">
        <is>
          <t>〇</t>
        </is>
      </c>
      <c r="R26" s="9" t="inlineStr">
        <is>
          <t>金</t>
        </is>
      </c>
      <c r="S26" s="45" t="inlineStr">
        <is>
          <t>スポーツの日</t>
        </is>
      </c>
      <c r="T26" s="37" t="n">
        <v>23</v>
      </c>
      <c r="U26" s="37" t="inlineStr">
        <is>
          <t>●</t>
        </is>
      </c>
      <c r="V26" s="37" t="n"/>
      <c r="W26" s="37" t="inlineStr">
        <is>
          <t>月</t>
        </is>
      </c>
      <c r="X26" s="163" t="inlineStr">
        <is>
          <t xml:space="preserve">２学期始業式　40x7 指定校公開2回目　</t>
        </is>
      </c>
      <c r="Y26" s="245" t="n">
        <v>23</v>
      </c>
      <c r="Z26" s="9" t="n"/>
      <c r="AA26" s="9" t="inlineStr">
        <is>
          <t>木</t>
        </is>
      </c>
      <c r="AB26" s="27" t="inlineStr">
        <is>
          <t>秋分の日</t>
        </is>
      </c>
      <c r="AC26" s="245" t="n">
        <v>23</v>
      </c>
      <c r="AD26" s="18" t="n"/>
      <c r="AE26" s="13" t="inlineStr">
        <is>
          <t>土</t>
        </is>
      </c>
      <c r="AF26" s="14" t="n"/>
      <c r="AG26" s="13" t="n">
        <v>23</v>
      </c>
      <c r="AH26" s="13" t="n"/>
      <c r="AI26" s="13" t="inlineStr">
        <is>
          <t>火</t>
        </is>
      </c>
      <c r="AJ26" s="16" t="inlineStr">
        <is>
          <t>勤労感謝の日</t>
        </is>
      </c>
      <c r="AK26" s="100" t="n">
        <v>23</v>
      </c>
      <c r="AL26" s="100" t="n"/>
      <c r="AM26" s="89" t="inlineStr">
        <is>
          <t>〇</t>
        </is>
      </c>
      <c r="AN26" s="89" t="inlineStr">
        <is>
          <t>木</t>
        </is>
      </c>
      <c r="AO26" s="287" t="inlineStr">
        <is>
          <t>冬季休業開始　　調査書管理職点検①</t>
        </is>
      </c>
      <c r="AP26" s="12" t="n">
        <v>23</v>
      </c>
      <c r="AQ26" s="12" t="n"/>
      <c r="AR26" s="12" t="n"/>
      <c r="AS26" s="13" t="inlineStr">
        <is>
          <t>日</t>
        </is>
      </c>
      <c r="AT26" s="181" t="n"/>
      <c r="AU26" s="13" t="n">
        <v>23</v>
      </c>
      <c r="AV26" s="13" t="n"/>
      <c r="AW26" s="11" t="inlineStr">
        <is>
          <t>水</t>
        </is>
      </c>
      <c r="AX26" s="16" t="inlineStr">
        <is>
          <t>天皇誕生日</t>
        </is>
      </c>
      <c r="AY26" s="37" t="n">
        <v>23</v>
      </c>
      <c r="AZ26" s="97" t="inlineStr">
        <is>
          <t>●</t>
        </is>
      </c>
      <c r="BA26" s="37" t="n"/>
      <c r="BB26" s="37" t="inlineStr">
        <is>
          <t>水</t>
        </is>
      </c>
      <c r="BC26" s="182" t="inlineStr">
        <is>
          <t>教科書販売/下足箱掃除   ３年生の話を聞く会・生徒総会　
体育祭準備集会・　通知表点検　出欠差分入力②</t>
        </is>
      </c>
      <c r="BE26" s="161" t="n">
        <v>2</v>
      </c>
      <c r="BF26" s="48" t="inlineStr">
        <is>
          <t>総合</t>
        </is>
      </c>
      <c r="BG26" s="162" t="inlineStr">
        <is>
          <t>総合</t>
        </is>
      </c>
    </row>
    <row r="27" ht="26.25" customHeight="1">
      <c r="B27" s="43" t="n">
        <v>24</v>
      </c>
      <c r="C27" s="150" t="n"/>
      <c r="D27" s="120" t="n"/>
      <c r="E27" s="44" t="inlineStr">
        <is>
          <t>土</t>
        </is>
      </c>
      <c r="F27" s="19" t="inlineStr">
        <is>
          <t>ＰＴＡ新旧役員会・拡大運営委員会</t>
        </is>
      </c>
      <c r="G27" s="37" t="n">
        <v>24</v>
      </c>
      <c r="H27" s="85" t="inlineStr">
        <is>
          <t>●</t>
        </is>
      </c>
      <c r="I27" s="85" t="inlineStr">
        <is>
          <t>月</t>
        </is>
      </c>
      <c r="J27" s="138" t="inlineStr">
        <is>
          <t>教育実習（～6/11）　④科目選択説明会（2年体育館）　小論文学習（3年）　「進路のしおり」説明（1年武道場）</t>
        </is>
      </c>
      <c r="K27" s="37" t="n">
        <v>24</v>
      </c>
      <c r="L27" s="37" t="inlineStr">
        <is>
          <t>●</t>
        </is>
      </c>
      <c r="M27" s="37" t="inlineStr">
        <is>
          <t>木</t>
        </is>
      </c>
      <c r="N27" s="127" t="inlineStr">
        <is>
          <t>歯科検診①②③④
鴻志祭援助金申請書提出〆切</t>
        </is>
      </c>
      <c r="O27" s="89" t="n">
        <v>24</v>
      </c>
      <c r="P27" s="89" t="n"/>
      <c r="Q27" s="288" t="inlineStr">
        <is>
          <t>〇</t>
        </is>
      </c>
      <c r="R27" s="175" t="inlineStr">
        <is>
          <t>土</t>
        </is>
      </c>
      <c r="S27" s="115" t="n"/>
      <c r="T27" s="37" t="n">
        <v>24</v>
      </c>
      <c r="U27" s="151" t="inlineStr">
        <is>
          <t>●</t>
        </is>
      </c>
      <c r="V27" s="151" t="n"/>
      <c r="W27" s="151" t="inlineStr">
        <is>
          <t>火</t>
        </is>
      </c>
      <c r="X27" s="282" t="inlineStr">
        <is>
          <t>スタディーサポート（1.2年全日）</t>
        </is>
      </c>
      <c r="Y27" s="110" t="n">
        <v>24</v>
      </c>
      <c r="Z27" s="85" t="inlineStr">
        <is>
          <t>●</t>
        </is>
      </c>
      <c r="AA27" s="85" t="inlineStr">
        <is>
          <t>金</t>
        </is>
      </c>
      <c r="AB27" s="163" t="n"/>
      <c r="AC27" s="23" t="n">
        <v>24</v>
      </c>
      <c r="AD27" s="12" t="n"/>
      <c r="AE27" s="13" t="inlineStr">
        <is>
          <t>日</t>
        </is>
      </c>
      <c r="AF27" s="14" t="n"/>
      <c r="AG27" s="113" t="n">
        <v>24</v>
      </c>
      <c r="AH27" s="113" t="inlineStr">
        <is>
          <t>●</t>
        </is>
      </c>
      <c r="AI27" s="97" t="inlineStr">
        <is>
          <t>水</t>
        </is>
      </c>
      <c r="AJ27" s="86" t="n"/>
      <c r="AK27" s="89" t="n">
        <v>24</v>
      </c>
      <c r="AL27" s="89" t="n"/>
      <c r="AM27" s="89" t="inlineStr">
        <is>
          <t>〇</t>
        </is>
      </c>
      <c r="AN27" s="89" t="inlineStr">
        <is>
          <t>金</t>
        </is>
      </c>
      <c r="AO27" s="122" t="inlineStr">
        <is>
          <t>調査書管理職点検②</t>
        </is>
      </c>
      <c r="AP27" s="113" t="n">
        <v>24</v>
      </c>
      <c r="AQ27" s="113" t="inlineStr">
        <is>
          <t>●</t>
        </is>
      </c>
      <c r="AR27" s="113" t="n"/>
      <c r="AS27" s="97" t="inlineStr">
        <is>
          <t>月</t>
        </is>
      </c>
      <c r="AT27" s="155" t="inlineStr">
        <is>
          <t>40ｘ7　3年成績処理</t>
        </is>
      </c>
      <c r="AU27" s="37" t="n">
        <v>24</v>
      </c>
      <c r="AV27" s="37" t="inlineStr">
        <is>
          <t>●</t>
        </is>
      </c>
      <c r="AW27" s="37" t="inlineStr">
        <is>
          <t>木</t>
        </is>
      </c>
      <c r="AX27" s="177" t="n"/>
      <c r="AY27" s="37" t="n">
        <v>24</v>
      </c>
      <c r="AZ27" s="37" t="inlineStr">
        <is>
          <t>●</t>
        </is>
      </c>
      <c r="BA27" s="37" t="n"/>
      <c r="BB27" s="37" t="inlineStr">
        <is>
          <t>木</t>
        </is>
      </c>
      <c r="BC27" s="251" t="inlineStr">
        <is>
          <t>大掃除　修了式・離退任式・LHR
出欠差分入力③</t>
        </is>
      </c>
      <c r="BE27" s="161" t="n">
        <v>3</v>
      </c>
      <c r="BF27" s="48" t="inlineStr">
        <is>
          <t>総合</t>
        </is>
      </c>
      <c r="BG27" s="188" t="inlineStr">
        <is>
          <t>分野別</t>
        </is>
      </c>
    </row>
    <row r="28" ht="26.25" customHeight="1" thickBot="1">
      <c r="B28" s="43" t="n">
        <v>25</v>
      </c>
      <c r="C28" s="150" t="n"/>
      <c r="D28" s="120" t="n"/>
      <c r="E28" s="44" t="inlineStr">
        <is>
          <t>日</t>
        </is>
      </c>
      <c r="F28" s="19" t="n"/>
      <c r="G28" s="37" t="n">
        <v>25</v>
      </c>
      <c r="H28" s="85" t="inlineStr">
        <is>
          <t>●</t>
        </is>
      </c>
      <c r="I28" s="85" t="inlineStr">
        <is>
          <t>火</t>
        </is>
      </c>
      <c r="J28" s="39" t="n"/>
      <c r="K28" s="37" t="n">
        <v>25</v>
      </c>
      <c r="L28" s="37" t="inlineStr">
        <is>
          <t>●</t>
        </is>
      </c>
      <c r="M28" s="37" t="inlineStr">
        <is>
          <t>金</t>
        </is>
      </c>
      <c r="N28" s="185" t="n"/>
      <c r="O28" s="89" t="n">
        <v>25</v>
      </c>
      <c r="P28" s="89" t="n"/>
      <c r="Q28" s="288" t="inlineStr">
        <is>
          <t>〇</t>
        </is>
      </c>
      <c r="R28" s="175" t="inlineStr">
        <is>
          <t>日</t>
        </is>
      </c>
      <c r="S28" s="115" t="n"/>
      <c r="T28" s="37" t="n">
        <v>25</v>
      </c>
      <c r="U28" s="151" t="inlineStr">
        <is>
          <t>●</t>
        </is>
      </c>
      <c r="V28" s="151" t="n"/>
      <c r="W28" s="151" t="inlineStr">
        <is>
          <t>水</t>
        </is>
      </c>
      <c r="X28" s="289" t="n"/>
      <c r="Y28" s="245" t="n">
        <v>25</v>
      </c>
      <c r="Z28" s="9" t="n"/>
      <c r="AA28" s="9" t="inlineStr">
        <is>
          <t>土</t>
        </is>
      </c>
      <c r="AB28" s="15" t="n"/>
      <c r="AC28" s="116" t="n">
        <v>25</v>
      </c>
      <c r="AD28" s="113" t="inlineStr">
        <is>
          <t>●</t>
        </is>
      </c>
      <c r="AE28" s="97" t="inlineStr">
        <is>
          <t>月</t>
        </is>
      </c>
      <c r="AF28" s="88" t="n"/>
      <c r="AG28" s="87" t="n">
        <v>25</v>
      </c>
      <c r="AH28" s="87" t="inlineStr">
        <is>
          <t>●</t>
        </is>
      </c>
      <c r="AI28" s="97" t="inlineStr">
        <is>
          <t>木</t>
        </is>
      </c>
      <c r="AJ28" s="186" t="inlineStr">
        <is>
          <t>④生徒総会</t>
        </is>
      </c>
      <c r="AK28" s="89" t="n">
        <v>25</v>
      </c>
      <c r="AL28" s="89" t="n"/>
      <c r="AM28" s="89" t="inlineStr">
        <is>
          <t>〇</t>
        </is>
      </c>
      <c r="AN28" s="89" t="inlineStr">
        <is>
          <t>土</t>
        </is>
      </c>
      <c r="AO28" s="91" t="n"/>
      <c r="AP28" s="113" t="n">
        <v>25</v>
      </c>
      <c r="AQ28" s="113" t="inlineStr">
        <is>
          <t>●</t>
        </is>
      </c>
      <c r="AR28" s="113" t="n"/>
      <c r="AS28" s="97" t="inlineStr">
        <is>
          <t>火</t>
        </is>
      </c>
      <c r="AT28" s="154" t="inlineStr">
        <is>
          <t>1年実力診断テスト・2年模試全日</t>
        </is>
      </c>
      <c r="AU28" s="37" t="n">
        <v>25</v>
      </c>
      <c r="AV28" s="37" t="inlineStr">
        <is>
          <t>●</t>
        </is>
      </c>
      <c r="AW28" s="37" t="inlineStr">
        <is>
          <t>金</t>
        </is>
      </c>
      <c r="AX28" s="290" t="inlineStr">
        <is>
          <t>判定会議? 40X4　遅刻ゼロの日</t>
        </is>
      </c>
      <c r="AY28" s="40" t="n">
        <v>25</v>
      </c>
      <c r="AZ28" s="40" t="n"/>
      <c r="BA28" s="100" t="inlineStr">
        <is>
          <t>〇</t>
        </is>
      </c>
      <c r="BB28" s="40" t="inlineStr">
        <is>
          <t>金</t>
        </is>
      </c>
      <c r="BC28" s="187" t="inlineStr">
        <is>
          <t>学年末休業開始</t>
        </is>
      </c>
      <c r="BE28" s="170" t="n">
        <v>4</v>
      </c>
      <c r="BF28" s="191" t="inlineStr">
        <is>
          <t>総合</t>
        </is>
      </c>
      <c r="BG28" s="192" t="inlineStr">
        <is>
          <t>分野別</t>
        </is>
      </c>
    </row>
    <row r="29" ht="26.25" customHeight="1">
      <c r="B29" s="147" t="n">
        <v>26</v>
      </c>
      <c r="C29" s="274" t="inlineStr">
        <is>
          <t>●</t>
        </is>
      </c>
      <c r="D29" s="148" t="n"/>
      <c r="E29" s="131" t="inlineStr">
        <is>
          <t>月</t>
        </is>
      </c>
      <c r="F29" s="124" t="inlineStr">
        <is>
          <t>④学校推薦型・総合型選抜説明会（3年体育館）</t>
        </is>
      </c>
      <c r="G29" s="37" t="n">
        <v>26</v>
      </c>
      <c r="H29" s="85" t="inlineStr">
        <is>
          <t>●</t>
        </is>
      </c>
      <c r="I29" s="85" t="inlineStr">
        <is>
          <t>水</t>
        </is>
      </c>
      <c r="J29" s="140" t="n"/>
      <c r="K29" s="11" t="n">
        <v>26</v>
      </c>
      <c r="L29" s="11" t="n"/>
      <c r="M29" s="11" t="inlineStr">
        <is>
          <t>土</t>
        </is>
      </c>
      <c r="N29" s="41" t="inlineStr">
        <is>
          <t>全公立展</t>
        </is>
      </c>
      <c r="O29" s="99" t="n">
        <v>26</v>
      </c>
      <c r="P29" s="100" t="n"/>
      <c r="Q29" s="291" t="inlineStr">
        <is>
          <t>〇</t>
        </is>
      </c>
      <c r="R29" s="175" t="inlineStr">
        <is>
          <t>月</t>
        </is>
      </c>
      <c r="S29" s="115" t="inlineStr">
        <is>
          <t>調査書点検②</t>
        </is>
      </c>
      <c r="T29" s="92" t="n">
        <v>26</v>
      </c>
      <c r="U29" s="151" t="inlineStr">
        <is>
          <t>●</t>
        </is>
      </c>
      <c r="V29" s="151" t="n"/>
      <c r="W29" s="151" t="inlineStr">
        <is>
          <t>木</t>
        </is>
      </c>
      <c r="X29" s="163" t="inlineStr">
        <is>
          <t>④⑤⑥　全学年鴻志祭準備LHR</t>
        </is>
      </c>
      <c r="Y29" s="245" t="n">
        <v>26</v>
      </c>
      <c r="Z29" s="9" t="n"/>
      <c r="AA29" s="9" t="inlineStr">
        <is>
          <t>日</t>
        </is>
      </c>
      <c r="AB29" s="189" t="n"/>
      <c r="AC29" s="116" t="n">
        <v>26</v>
      </c>
      <c r="AD29" s="113" t="inlineStr">
        <is>
          <t>●</t>
        </is>
      </c>
      <c r="AE29" s="97" t="inlineStr">
        <is>
          <t>火</t>
        </is>
      </c>
      <c r="AF29" s="124" t="n"/>
      <c r="AG29" s="87" t="n">
        <v>26</v>
      </c>
      <c r="AH29" s="87" t="inlineStr">
        <is>
          <t>●</t>
        </is>
      </c>
      <c r="AI29" s="97" t="inlineStr">
        <is>
          <t>金</t>
        </is>
      </c>
      <c r="AJ29" s="86" t="n"/>
      <c r="AK29" s="100" t="n">
        <v>26</v>
      </c>
      <c r="AL29" s="100" t="n"/>
      <c r="AM29" s="89" t="inlineStr">
        <is>
          <t>〇</t>
        </is>
      </c>
      <c r="AN29" s="89" t="inlineStr">
        <is>
          <t>日</t>
        </is>
      </c>
      <c r="AO29" s="122" t="n"/>
      <c r="AP29" s="87" t="n">
        <v>26</v>
      </c>
      <c r="AQ29" s="87" t="inlineStr">
        <is>
          <t>●</t>
        </is>
      </c>
      <c r="AR29" s="87" t="n"/>
      <c r="AS29" s="97" t="inlineStr">
        <is>
          <t>水</t>
        </is>
      </c>
      <c r="AT29" s="154" t="inlineStr">
        <is>
          <t>職員会議</t>
        </is>
      </c>
      <c r="AU29" s="11" t="n">
        <v>26</v>
      </c>
      <c r="AV29" s="11" t="n"/>
      <c r="AW29" s="11" t="inlineStr">
        <is>
          <t>土</t>
        </is>
      </c>
      <c r="AX29" s="47" t="n"/>
      <c r="AY29" s="49" t="n">
        <v>26</v>
      </c>
      <c r="AZ29" s="49" t="n"/>
      <c r="BA29" s="100" t="inlineStr">
        <is>
          <t>〇</t>
        </is>
      </c>
      <c r="BB29" s="89" t="inlineStr">
        <is>
          <t>土</t>
        </is>
      </c>
      <c r="BC29" s="190" t="n"/>
    </row>
    <row r="30" ht="26.25" customHeight="1">
      <c r="B30" s="147" t="n">
        <v>27</v>
      </c>
      <c r="C30" s="274" t="inlineStr">
        <is>
          <t>●</t>
        </is>
      </c>
      <c r="D30" s="148" t="n"/>
      <c r="E30" s="131" t="inlineStr">
        <is>
          <t>火</t>
        </is>
      </c>
      <c r="F30" s="163" t="inlineStr">
        <is>
          <t xml:space="preserve">新体力テスト・身体計測
体育祭準備集会❷　　　　　　 　　 　　    　　</t>
        </is>
      </c>
      <c r="G30" s="37" t="n">
        <v>27</v>
      </c>
      <c r="H30" s="85" t="inlineStr">
        <is>
          <t>●</t>
        </is>
      </c>
      <c r="I30" s="85" t="inlineStr">
        <is>
          <t>木</t>
        </is>
      </c>
      <c r="J30" s="193" t="inlineStr">
        <is>
          <t>内科検診①②③④
鴻志祭１次企画書提出〆切</t>
        </is>
      </c>
      <c r="K30" s="11" t="n">
        <v>27</v>
      </c>
      <c r="L30" s="11" t="n"/>
      <c r="M30" s="11" t="inlineStr">
        <is>
          <t>日</t>
        </is>
      </c>
      <c r="N30" s="46" t="n"/>
      <c r="O30" s="119" t="n">
        <v>27</v>
      </c>
      <c r="P30" s="89" t="n"/>
      <c r="Q30" s="288" t="inlineStr">
        <is>
          <t>〇</t>
        </is>
      </c>
      <c r="R30" s="175" t="inlineStr">
        <is>
          <t>火</t>
        </is>
      </c>
      <c r="S30" s="115" t="inlineStr">
        <is>
          <t>夏期講習・補習</t>
        </is>
      </c>
      <c r="T30" s="37" t="n">
        <v>27</v>
      </c>
      <c r="U30" s="151" t="inlineStr">
        <is>
          <t>●</t>
        </is>
      </c>
      <c r="V30" s="151" t="n"/>
      <c r="W30" s="151" t="inlineStr">
        <is>
          <t>金</t>
        </is>
      </c>
      <c r="X30" s="163" t="inlineStr">
        <is>
          <t>遅刻ゼロの日  職員会議</t>
        </is>
      </c>
      <c r="Y30" s="129" t="n">
        <v>27</v>
      </c>
      <c r="Z30" s="153" t="inlineStr">
        <is>
          <t>●</t>
        </is>
      </c>
      <c r="AA30" s="131" t="inlineStr">
        <is>
          <t>月</t>
        </is>
      </c>
      <c r="AB30" s="278" t="inlineStr">
        <is>
          <t>推薦原案作成会議　４０×６　総合なし</t>
        </is>
      </c>
      <c r="AC30" s="116" t="n">
        <v>27</v>
      </c>
      <c r="AD30" s="113" t="inlineStr">
        <is>
          <t>●</t>
        </is>
      </c>
      <c r="AE30" s="97" t="inlineStr">
        <is>
          <t>水</t>
        </is>
      </c>
      <c r="AF30" s="124" t="inlineStr">
        <is>
          <t>素点入力締切</t>
        </is>
      </c>
      <c r="AG30" s="18" t="n">
        <v>27</v>
      </c>
      <c r="AH30" s="18" t="n"/>
      <c r="AI30" s="13" t="inlineStr">
        <is>
          <t>土</t>
        </is>
      </c>
      <c r="AJ30" s="292" t="n"/>
      <c r="AK30" s="100" t="n">
        <v>27</v>
      </c>
      <c r="AL30" s="100" t="n"/>
      <c r="AM30" s="100" t="inlineStr">
        <is>
          <t>〇</t>
        </is>
      </c>
      <c r="AN30" s="89" t="inlineStr">
        <is>
          <t>月</t>
        </is>
      </c>
      <c r="AO30" s="122" t="inlineStr">
        <is>
          <t>3年担任・管理職調査書発行業務</t>
        </is>
      </c>
      <c r="AP30" s="87" t="n">
        <v>27</v>
      </c>
      <c r="AQ30" s="87" t="inlineStr">
        <is>
          <t>●</t>
        </is>
      </c>
      <c r="AR30" s="87" t="n"/>
      <c r="AS30" s="97" t="inlineStr">
        <is>
          <t>木</t>
        </is>
      </c>
      <c r="AT30" s="133" t="inlineStr">
        <is>
          <t>④三送会　素点入力締切</t>
        </is>
      </c>
      <c r="AU30" s="13" t="n">
        <v>27</v>
      </c>
      <c r="AV30" s="194" t="n"/>
      <c r="AW30" s="51" t="inlineStr">
        <is>
          <t>日</t>
        </is>
      </c>
      <c r="AX30" s="16" t="n"/>
      <c r="AY30" s="100" t="n">
        <v>27</v>
      </c>
      <c r="AZ30" s="100" t="n"/>
      <c r="BA30" s="100" t="inlineStr">
        <is>
          <t>〇</t>
        </is>
      </c>
      <c r="BB30" s="89" t="inlineStr">
        <is>
          <t>日</t>
        </is>
      </c>
      <c r="BC30" s="195" t="n"/>
      <c r="BF30" s="74" t="inlineStr">
        <is>
          <t>体育館</t>
        </is>
      </c>
    </row>
    <row r="31" ht="26.25" customHeight="1">
      <c r="B31" s="129" t="n">
        <v>28</v>
      </c>
      <c r="C31" s="246" t="inlineStr">
        <is>
          <t>●</t>
        </is>
      </c>
      <c r="D31" s="130" t="n"/>
      <c r="E31" s="131" t="inlineStr">
        <is>
          <t>水</t>
        </is>
      </c>
      <c r="F31" s="163" t="inlineStr">
        <is>
          <t>結核検診・心電図検査（1年）①②③④</t>
        </is>
      </c>
      <c r="G31" s="37" t="n">
        <v>28</v>
      </c>
      <c r="H31" s="85" t="inlineStr">
        <is>
          <t>●</t>
        </is>
      </c>
      <c r="I31" s="85" t="inlineStr">
        <is>
          <t>金</t>
        </is>
      </c>
      <c r="J31" s="164" t="inlineStr">
        <is>
          <t>素点入力締切　遅刻ゼロの日</t>
        </is>
      </c>
      <c r="K31" s="97" t="n">
        <v>28</v>
      </c>
      <c r="L31" s="37" t="inlineStr">
        <is>
          <t>●</t>
        </is>
      </c>
      <c r="M31" s="37" t="inlineStr">
        <is>
          <t>月</t>
        </is>
      </c>
      <c r="N31" s="121" t="inlineStr">
        <is>
          <t>④模擬面接ＤＶＤ（3年体育館）</t>
        </is>
      </c>
      <c r="O31" s="119" t="n">
        <v>28</v>
      </c>
      <c r="P31" s="89" t="n"/>
      <c r="Q31" s="288" t="inlineStr">
        <is>
          <t>〇</t>
        </is>
      </c>
      <c r="R31" s="175" t="inlineStr">
        <is>
          <t>水</t>
        </is>
      </c>
      <c r="S31" s="115" t="inlineStr">
        <is>
          <t>夏期講習・補習</t>
        </is>
      </c>
      <c r="T31" s="11" t="n">
        <v>28</v>
      </c>
      <c r="U31" s="17" t="n"/>
      <c r="V31" s="17" t="n"/>
      <c r="W31" s="17" t="inlineStr">
        <is>
          <t>土</t>
        </is>
      </c>
      <c r="X31" s="45" t="inlineStr">
        <is>
          <t>学校説明会（コニコムプラザ相模原）
ＰＴＡ役員会・運営委員会</t>
        </is>
      </c>
      <c r="Y31" s="116" t="n">
        <v>28</v>
      </c>
      <c r="Z31" s="153" t="inlineStr">
        <is>
          <t>●</t>
        </is>
      </c>
      <c r="AA31" s="85" t="inlineStr">
        <is>
          <t>火</t>
        </is>
      </c>
      <c r="AB31" s="293" t="n"/>
      <c r="AC31" s="110" t="n">
        <v>28</v>
      </c>
      <c r="AD31" s="87" t="inlineStr">
        <is>
          <t>●</t>
        </is>
      </c>
      <c r="AE31" s="97" t="inlineStr">
        <is>
          <t>木</t>
        </is>
      </c>
      <c r="AF31" s="39" t="inlineStr">
        <is>
          <t>素点票配付</t>
        </is>
      </c>
      <c r="AG31" s="13" t="n">
        <v>28</v>
      </c>
      <c r="AH31" s="13" t="n"/>
      <c r="AI31" s="13" t="inlineStr">
        <is>
          <t>日</t>
        </is>
      </c>
      <c r="AJ31" s="29" t="n"/>
      <c r="AK31" s="100" t="n">
        <v>28</v>
      </c>
      <c r="AL31" s="100" t="n"/>
      <c r="AM31" s="100" t="inlineStr">
        <is>
          <t>〇</t>
        </is>
      </c>
      <c r="AN31" s="89" t="inlineStr">
        <is>
          <t>火</t>
        </is>
      </c>
      <c r="AO31" s="122" t="inlineStr">
        <is>
          <t>学校閉庁日</t>
        </is>
      </c>
      <c r="AP31" s="87" t="n">
        <v>28</v>
      </c>
      <c r="AQ31" s="87" t="inlineStr">
        <is>
          <t>●</t>
        </is>
      </c>
      <c r="AR31" s="87" t="n"/>
      <c r="AS31" s="97" t="inlineStr">
        <is>
          <t>金</t>
        </is>
      </c>
      <c r="AT31" s="163" t="inlineStr">
        <is>
          <t>④3年LHR　素点票配布</t>
        </is>
      </c>
      <c r="AU31" s="207" t="n">
        <v>28</v>
      </c>
      <c r="AV31" s="207" t="inlineStr">
        <is>
          <t>●</t>
        </is>
      </c>
      <c r="AW31" s="207" t="inlineStr">
        <is>
          <t>月</t>
        </is>
      </c>
      <c r="AX31" s="290" t="n"/>
      <c r="AY31" s="100" t="n">
        <v>28</v>
      </c>
      <c r="AZ31" s="100" t="n"/>
      <c r="BA31" s="100" t="inlineStr">
        <is>
          <t>〇</t>
        </is>
      </c>
      <c r="BB31" s="89" t="inlineStr">
        <is>
          <t>月</t>
        </is>
      </c>
      <c r="BC31" s="196" t="n"/>
      <c r="BF31" s="74" t="inlineStr">
        <is>
          <t>映画？？</t>
        </is>
      </c>
    </row>
    <row r="32" ht="26.25" customHeight="1" thickBot="1">
      <c r="B32" s="43" t="n">
        <v>29</v>
      </c>
      <c r="C32" s="150" t="n"/>
      <c r="D32" s="120" t="n"/>
      <c r="E32" s="44" t="inlineStr">
        <is>
          <t>木</t>
        </is>
      </c>
      <c r="F32" s="294" t="inlineStr">
        <is>
          <t>昭和の日</t>
        </is>
      </c>
      <c r="G32" s="11" t="n">
        <v>29</v>
      </c>
      <c r="H32" s="9" t="n"/>
      <c r="I32" s="9" t="inlineStr">
        <is>
          <t>土</t>
        </is>
      </c>
      <c r="J32" s="136" t="n"/>
      <c r="K32" s="37" t="n">
        <v>29</v>
      </c>
      <c r="L32" s="37" t="inlineStr">
        <is>
          <t>●</t>
        </is>
      </c>
      <c r="M32" s="37" t="inlineStr">
        <is>
          <t>火</t>
        </is>
      </c>
      <c r="N32" s="88" t="n"/>
      <c r="O32" s="119" t="n">
        <v>29</v>
      </c>
      <c r="P32" s="89" t="n"/>
      <c r="Q32" s="288" t="inlineStr">
        <is>
          <t>〇</t>
        </is>
      </c>
      <c r="R32" s="175" t="inlineStr">
        <is>
          <t>木</t>
        </is>
      </c>
      <c r="S32" s="115" t="inlineStr">
        <is>
          <t>夏期講習・補習</t>
        </is>
      </c>
      <c r="T32" s="11" t="n">
        <v>29</v>
      </c>
      <c r="U32" s="17" t="n"/>
      <c r="V32" s="17" t="n"/>
      <c r="W32" s="17" t="inlineStr">
        <is>
          <t>日</t>
        </is>
      </c>
      <c r="X32" s="45" t="n"/>
      <c r="Y32" s="110" t="n">
        <v>29</v>
      </c>
      <c r="Z32" s="85" t="inlineStr">
        <is>
          <t>●</t>
        </is>
      </c>
      <c r="AA32" s="85" t="inlineStr">
        <is>
          <t>水</t>
        </is>
      </c>
      <c r="AB32" s="293" t="n"/>
      <c r="AC32" s="110" t="n">
        <v>29</v>
      </c>
      <c r="AD32" s="87" t="inlineStr">
        <is>
          <t>●</t>
        </is>
      </c>
      <c r="AE32" s="97" t="inlineStr">
        <is>
          <t>金</t>
        </is>
      </c>
      <c r="AF32" s="186" t="n"/>
      <c r="AG32" s="97" t="n">
        <v>29</v>
      </c>
      <c r="AH32" s="207" t="inlineStr">
        <is>
          <t>●</t>
        </is>
      </c>
      <c r="AI32" s="207" t="inlineStr">
        <is>
          <t>月</t>
        </is>
      </c>
      <c r="AJ32" s="277" t="n"/>
      <c r="AK32" s="100" t="n">
        <v>29</v>
      </c>
      <c r="AL32" s="100" t="n"/>
      <c r="AM32" s="100" t="inlineStr">
        <is>
          <t>〇</t>
        </is>
      </c>
      <c r="AN32" s="89" t="inlineStr">
        <is>
          <t>水</t>
        </is>
      </c>
      <c r="AO32" s="122" t="n"/>
      <c r="AP32" s="12" t="n">
        <v>29</v>
      </c>
      <c r="AQ32" s="12" t="n"/>
      <c r="AR32" s="12" t="n"/>
      <c r="AS32" s="13" t="inlineStr">
        <is>
          <t>土</t>
        </is>
      </c>
      <c r="AT32" s="146" t="n"/>
      <c r="AU32" s="197" t="n"/>
      <c r="AV32" s="197" t="n"/>
      <c r="AW32" s="197" t="n"/>
      <c r="AX32" s="198" t="n"/>
      <c r="AY32" s="99" t="n">
        <v>29</v>
      </c>
      <c r="AZ32" s="199" t="n"/>
      <c r="BA32" s="199" t="inlineStr">
        <is>
          <t>〇</t>
        </is>
      </c>
      <c r="BB32" s="200" t="inlineStr">
        <is>
          <t>火</t>
        </is>
      </c>
      <c r="BC32" s="196" t="n"/>
      <c r="BF32" s="74" t="inlineStr">
        <is>
          <t>修学旅行事前学習</t>
        </is>
      </c>
    </row>
    <row r="33" ht="26.25" customHeight="1" thickBot="1" thickTop="1">
      <c r="B33" s="201" t="n">
        <v>30</v>
      </c>
      <c r="C33" s="203" t="inlineStr">
        <is>
          <t>●</t>
        </is>
      </c>
      <c r="D33" s="202" t="n"/>
      <c r="E33" s="203" t="inlineStr">
        <is>
          <t>金</t>
        </is>
      </c>
      <c r="F33" s="295" t="inlineStr">
        <is>
          <t>眼科検診</t>
        </is>
      </c>
      <c r="G33" s="11" t="n">
        <v>30</v>
      </c>
      <c r="H33" s="9" t="n"/>
      <c r="I33" s="9" t="inlineStr">
        <is>
          <t>日</t>
        </is>
      </c>
      <c r="J33" s="41" t="n"/>
      <c r="K33" s="204" t="n">
        <v>30</v>
      </c>
      <c r="L33" s="204" t="inlineStr">
        <is>
          <t>●</t>
        </is>
      </c>
      <c r="M33" s="204" t="inlineStr">
        <is>
          <t>水</t>
        </is>
      </c>
      <c r="N33" s="205" t="inlineStr">
        <is>
          <t>40ｘ6</t>
        </is>
      </c>
      <c r="O33" s="119" t="n">
        <v>30</v>
      </c>
      <c r="P33" s="89" t="n"/>
      <c r="Q33" s="288" t="inlineStr">
        <is>
          <t>〇</t>
        </is>
      </c>
      <c r="R33" s="175" t="inlineStr">
        <is>
          <t>金</t>
        </is>
      </c>
      <c r="S33" s="115" t="inlineStr">
        <is>
          <t>夏期講習・補習</t>
        </is>
      </c>
      <c r="T33" s="37" t="n">
        <v>30</v>
      </c>
      <c r="U33" s="151" t="inlineStr">
        <is>
          <t>●</t>
        </is>
      </c>
      <c r="V33" s="296" t="n"/>
      <c r="W33" s="296" t="inlineStr">
        <is>
          <t>月</t>
        </is>
      </c>
      <c r="X33" s="282" t="inlineStr">
        <is>
          <t>第１回推薦願締切</t>
        </is>
      </c>
      <c r="Y33" s="297" t="n">
        <v>30</v>
      </c>
      <c r="Z33" s="206" t="inlineStr">
        <is>
          <t>●</t>
        </is>
      </c>
      <c r="AA33" s="204" t="inlineStr">
        <is>
          <t>木</t>
        </is>
      </c>
      <c r="AB33" s="293" t="inlineStr">
        <is>
          <t>第2回推薦会議　４０×６</t>
        </is>
      </c>
      <c r="AC33" s="245" t="n">
        <v>30</v>
      </c>
      <c r="AD33" s="298" t="n"/>
      <c r="AE33" s="194" t="inlineStr">
        <is>
          <t>土</t>
        </is>
      </c>
      <c r="AF33" s="299" t="n"/>
      <c r="AG33" s="197" t="n">
        <v>30</v>
      </c>
      <c r="AH33" s="197" t="inlineStr">
        <is>
          <t>●</t>
        </is>
      </c>
      <c r="AI33" s="197" t="inlineStr">
        <is>
          <t>火</t>
        </is>
      </c>
      <c r="AJ33" s="300" t="inlineStr">
        <is>
          <t>40ｘ6</t>
        </is>
      </c>
      <c r="AK33" s="89" t="n">
        <v>30</v>
      </c>
      <c r="AL33" s="89" t="n"/>
      <c r="AM33" s="100" t="inlineStr">
        <is>
          <t>〇</t>
        </is>
      </c>
      <c r="AN33" s="200" t="inlineStr">
        <is>
          <t>木</t>
        </is>
      </c>
      <c r="AO33" s="208" t="n"/>
      <c r="AP33" s="12" t="n">
        <v>30</v>
      </c>
      <c r="AQ33" s="12" t="n"/>
      <c r="AR33" s="12" t="n"/>
      <c r="AS33" s="13" t="inlineStr">
        <is>
          <t>日</t>
        </is>
      </c>
      <c r="AT33" s="209" t="n"/>
      <c r="AU33" s="210" t="n"/>
      <c r="AV33" s="325" t="n"/>
      <c r="AW33" s="325" t="n"/>
      <c r="AX33" s="211" t="n"/>
      <c r="AY33" s="99" t="n">
        <v>30</v>
      </c>
      <c r="AZ33" s="99" t="n"/>
      <c r="BA33" s="99" t="inlineStr">
        <is>
          <t>〇</t>
        </is>
      </c>
      <c r="BB33" s="89" t="inlineStr">
        <is>
          <t>水</t>
        </is>
      </c>
      <c r="BC33" s="212" t="n"/>
    </row>
    <row r="34" ht="26.25" customHeight="1" thickBot="1" thickTop="1">
      <c r="B34" s="213" t="n"/>
      <c r="C34" s="507" t="n"/>
      <c r="D34" s="507" t="n"/>
      <c r="E34" s="507" t="n"/>
      <c r="F34" s="214" t="n"/>
      <c r="G34" s="252" t="n">
        <v>31</v>
      </c>
      <c r="H34" s="204" t="inlineStr">
        <is>
          <t>●</t>
        </is>
      </c>
      <c r="I34" s="204" t="inlineStr">
        <is>
          <t>月</t>
        </is>
      </c>
      <c r="J34" s="301" t="inlineStr">
        <is>
          <t>素点票配付　④小論文学習（3年）</t>
        </is>
      </c>
      <c r="K34" s="507" t="n"/>
      <c r="L34" s="540" t="n"/>
      <c r="M34" s="540" t="n"/>
      <c r="N34" s="540" t="n"/>
      <c r="O34" s="215" t="n">
        <v>31</v>
      </c>
      <c r="P34" s="227" t="n"/>
      <c r="Q34" s="302" t="inlineStr">
        <is>
          <t>〇</t>
        </is>
      </c>
      <c r="R34" s="216" t="inlineStr">
        <is>
          <t>土</t>
        </is>
      </c>
      <c r="S34" s="217" t="n"/>
      <c r="T34" s="197" t="n">
        <v>31</v>
      </c>
      <c r="U34" s="197" t="inlineStr">
        <is>
          <t>●</t>
        </is>
      </c>
      <c r="V34" s="197" t="n"/>
      <c r="W34" s="204" t="inlineStr">
        <is>
          <t>火</t>
        </is>
      </c>
      <c r="X34" s="154" t="n"/>
      <c r="Y34" s="218" t="n"/>
      <c r="Z34" s="314" t="n"/>
      <c r="AA34" s="219" t="n"/>
      <c r="AB34" s="220" t="n"/>
      <c r="AC34" s="221" t="n">
        <v>31</v>
      </c>
      <c r="AD34" s="222" t="n"/>
      <c r="AE34" s="50" t="inlineStr">
        <is>
          <t>日</t>
        </is>
      </c>
      <c r="AF34" s="223" t="n"/>
      <c r="AG34" s="224" t="n"/>
      <c r="AH34" s="224" t="n"/>
      <c r="AI34" s="225" t="n"/>
      <c r="AJ34" s="226" t="n"/>
      <c r="AK34" s="215" t="n">
        <v>31</v>
      </c>
      <c r="AL34" s="227" t="n"/>
      <c r="AM34" s="227" t="inlineStr">
        <is>
          <t>〇</t>
        </is>
      </c>
      <c r="AN34" s="227" t="inlineStr">
        <is>
          <t>金</t>
        </is>
      </c>
      <c r="AO34" s="228" t="n"/>
      <c r="AP34" s="303" t="n">
        <v>31</v>
      </c>
      <c r="AQ34" s="303" t="inlineStr">
        <is>
          <t>●</t>
        </is>
      </c>
      <c r="AR34" s="303" t="n"/>
      <c r="AS34" s="207" t="inlineStr">
        <is>
          <t>月</t>
        </is>
      </c>
      <c r="AT34" s="304" t="inlineStr">
        <is>
          <t>④3年自由登校事前指導　
40分×7　教科会</t>
        </is>
      </c>
      <c r="AU34" s="229" t="n"/>
      <c r="AV34" s="226" t="n"/>
      <c r="AW34" s="230" t="n"/>
      <c r="AX34" s="231" t="n"/>
      <c r="AY34" s="215" t="n">
        <v>31</v>
      </c>
      <c r="AZ34" s="232" t="n"/>
      <c r="BA34" s="232" t="inlineStr">
        <is>
          <t>〇</t>
        </is>
      </c>
      <c r="BB34" s="227" t="inlineStr">
        <is>
          <t>木</t>
        </is>
      </c>
      <c r="BC34" s="233" t="inlineStr">
        <is>
          <t>学年末休業終了</t>
        </is>
      </c>
    </row>
    <row r="35" ht="180" customHeight="1" thickBot="1" thickTop="1">
      <c r="B35" s="558" t="inlineStr">
        <is>
          <t xml:space="preserve">学年会（火）
自転車通学指導　　　　　　　　　　　　　　　　　　　　　　　　　　　　　　　　　　　　　　　　　　　　　　　　第１回いじめ防止推進会議　　　　　　　　　　　　　　　　　　　　　　　　　　　　　　　　　衛生委員会　
健康診断（眼科検診・尿検査・結核検診）
いのちの授業・国際教育講演会・授業改善研修会（年間のどこかで）
</t>
        </is>
      </c>
      <c r="C35" s="559" t="n"/>
      <c r="D35" s="559" t="n"/>
      <c r="E35" s="559" t="n"/>
      <c r="F35" s="560" t="n"/>
      <c r="G35" s="561" t="inlineStr">
        <is>
          <t>学年会（火）
中学校ＰＴＡ高校訪問　
携帯電話教室　
第2回いじめ防止推進会議　
衛生委員会　
第１回学校運営協議会
遠足事前指導　
給付型奨学金推薦会議
健康診断（眼科検診・尿検査・結核検診）
方面別集合訓練
心肺蘇生法講習会</t>
        </is>
      </c>
      <c r="H35" s="559" t="n"/>
      <c r="I35" s="559" t="n"/>
      <c r="J35" s="560" t="n"/>
      <c r="K35" s="561" t="inlineStr">
        <is>
          <t>学年会（火）
中学校ＰＴＡ高校訪問　
中学校訪問　
プール水質検査
衛生委員会　　　　　　　　　　　　　　　　　　　　　　　　　　　　　　　　　　　　　　　　　　　　　　　　　　　　　　　　　　　　　　　　　　　　　　　               　　　　　　　　　　　　　　　　　　　　
模試返却・面接資料作成（3年）
ＰＴＡ安全パトロール
三者間情報伝達訓練
健康診断（眼科検診・尿検査・結核検診）</t>
        </is>
      </c>
      <c r="L35" s="559" t="n"/>
      <c r="M35" s="559" t="n"/>
      <c r="N35" s="560" t="n"/>
      <c r="O35" s="561" t="inlineStr">
        <is>
          <t>学年会（火）　衛生委員会　　　　　　　　　　　　　　　                          　　　　　　　　　　　　　　　　　　  　　社会環境健全化街頭キャンペーン
蔵書点検　
薬物乱用防止教室(2年)　
合宿前検診
プール水質検査　
三者面談　　　　　　　　　　　　　　　　　　　　　　　　　　　　　　　　　　　　　　　　　　　　　　　　　　　　　　　　　　　　　　　　　　　　　　　　　　　　　　　　　　　　　　　　　
中学生高校見学　　　　
ＰＴＡ研修大会</t>
        </is>
      </c>
      <c r="P35" s="559" t="n"/>
      <c r="Q35" s="559" t="n"/>
      <c r="R35" s="559" t="n"/>
      <c r="S35" s="560" t="n"/>
      <c r="T35" s="505" t="inlineStr">
        <is>
          <t>学年会（火）
人権研修会・不祥事防止研修会　　
蔵書点検
プール水質検査・ダニアレルゲン検査
衛生委員会　　　　　　　　　　　　　　　　　　　　
三者面談　
転編入テスト　
中学生高校見学
シューター訓練・シェイクアウト訓練
人権研修</t>
        </is>
      </c>
      <c r="U35" s="562" t="n"/>
      <c r="V35" s="562" t="n"/>
      <c r="W35" s="562" t="n"/>
      <c r="X35" s="562" t="n"/>
      <c r="Y35" s="563" t="inlineStr">
        <is>
          <t xml:space="preserve">学年会（火）
衛生委員会
模擬面接説明会（3年）　　　　
第３回学校運営協議会
授業改善研修　
DIG研修（1・2年）※11月・1月の可能性もあり　　
　　　　　　　　　　　</t>
        </is>
      </c>
      <c r="Z35" s="525" t="n"/>
      <c r="AA35" s="525" t="n"/>
      <c r="AB35" s="564" t="n"/>
      <c r="AC35" s="565" t="inlineStr">
        <is>
          <t xml:space="preserve">学年会（火）
PTA自転車点検　　　PTA私費中間監査
修学旅行前検診
教室空気・照度検査
衛生委員会　　　　　　　　　　　　　　　　　　　　　　　　　　　　　　　　　　　　　　　　　　　　　　　　　　　　　　　　　　　　　　　　　　　　　　　
修学旅行事前学習発表（２年体育館）
地域清掃　　　　　　　　　　　　　　　　　　　　　　　　　　　　　　　　　　　　　　　　　　　　　　　　　　　　　　　　　　　　　　　　　　　　　　　　　　　　　　　　　</t>
        </is>
      </c>
      <c r="AD35" s="562" t="n"/>
      <c r="AE35" s="562" t="n"/>
      <c r="AF35" s="566" t="n"/>
      <c r="AG35" s="567" t="inlineStr">
        <is>
          <t xml:space="preserve">学年会（火）
第2回学校徴収金運営協議会
第５回学校運営協議会
ストーブ設置・ためし焚き
地域貢献デー　地域清掃　
第3回いじめ防止推進会議
衛生委員会　　　　　　　　　　　　　　　　　　　　　　　　　　　　　　　　　　　　　　　第三者評価　　　　　　　　　　　　　　　　　　　　　　　　　　　　　　　　　　　　　　　　　　　　　　　　　
１年専修大学１日体験
地域清掃　　　　　　　　　　　　　　　　　　　　　　　　　　　　　　　　　　　　　　　　　　　　　　　　　　　　　　　　　　　　　　　　　　　　　　　　　　　　　　　　　
　　　　　　　　　</t>
        </is>
      </c>
      <c r="AH35" s="568" t="n"/>
      <c r="AI35" s="568" t="n"/>
      <c r="AJ35" s="569" t="n"/>
      <c r="AK35" s="561" t="inlineStr">
        <is>
          <t xml:space="preserve">学年会（火）
性感染症予防講演会(1年)　　　　　　　　　　　　　　　　　　　　　　　　　　　　　　　 
衛生委員会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転編入テスト　　　　　　　　　　　　　　　　　　　　　　　　　　　　　　　　　　　　　　　　　　　　　　　　　共通テスト説明会　　　　　　　　　　　　　　　　　　　　　　　　　　　　　　　　　　　　　　　　　　　　
同窓会説明会（3年）　　　　　　　　　　　　　　　　　　　　
調査書点検
防災講話・喫食訓練　
　　　　　　　　　　　　　　　</t>
        </is>
      </c>
      <c r="AL35" s="559" t="n"/>
      <c r="AM35" s="559" t="n"/>
      <c r="AN35" s="559" t="n"/>
      <c r="AO35" s="560" t="n"/>
      <c r="AP35" s="570" t="inlineStr">
        <is>
          <t>学年会（火）
２年英語検定受験</t>
        </is>
      </c>
      <c r="AQ35" s="562" t="n"/>
      <c r="AR35" s="562" t="n"/>
      <c r="AS35" s="562" t="n"/>
      <c r="AT35" s="566" t="n"/>
      <c r="AU35" s="567" t="inlineStr">
        <is>
          <t>学年会（火）
教室整備（３年）　　　　　　　　　　　　　　　　　　　　　　　　　　　
入学者選抜　　　　　　　　　　　　　　　　　　　　　　　　　　　　　　　　　　　　　　　　　　　
ＰＴＡ私費会計監査
業者によるワックスがけ</t>
        </is>
      </c>
      <c r="AV35" s="568" t="n"/>
      <c r="AW35" s="568" t="n"/>
      <c r="AX35" s="569" t="n"/>
      <c r="AY35" s="571" t="inlineStr">
        <is>
          <t xml:space="preserve">学年会（火）
第3回学校徴収金運営協議会　　　　　　　　　　　　　　　　　　　　
私費年度末監査　　　　　　　　　　　
業者によるワックスがけ（下旬）
ストーブ取り外し（下旬）　修学旅行事前学習（１年）　　
入学手続き・合格者説明会　
第４回いじめ防止推進会議　
調査書点検　要録点検
衛生委員会　合唱コンクール（１年）　　
二次募集　　　　　　　　　　　　　　　　　　　　　　　　　　　
第６回学校運営協議会　</t>
        </is>
      </c>
      <c r="AZ35" s="562" t="n"/>
      <c r="BA35" s="562" t="n"/>
      <c r="BB35" s="562" t="n"/>
      <c r="BC35" s="572" t="n"/>
    </row>
    <row r="36" ht="19.5" customFormat="1" customHeight="1" s="77" thickTop="1">
      <c r="I36" s="234" t="n"/>
      <c r="R36" s="77" t="inlineStr">
        <is>
          <t>〇</t>
        </is>
      </c>
      <c r="S36" s="77" t="inlineStr">
        <is>
          <t>1学期授業日数</t>
        </is>
      </c>
      <c r="T36" s="77" t="inlineStr">
        <is>
          <t>夏季休業</t>
        </is>
      </c>
      <c r="AN36" s="77" t="inlineStr">
        <is>
          <t>〇</t>
        </is>
      </c>
      <c r="AO36" s="77" t="inlineStr">
        <is>
          <t>2学期授業時数</t>
        </is>
      </c>
      <c r="AP36" s="74" t="inlineStr">
        <is>
          <t>冬季休業</t>
        </is>
      </c>
      <c r="AT36" s="77" t="inlineStr">
        <is>
          <t>〇3年3学期テストまで</t>
        </is>
      </c>
      <c r="AV36" s="77" t="inlineStr">
        <is>
          <t>年度末休業</t>
        </is>
      </c>
      <c r="AY36" s="305" t="n"/>
      <c r="AZ36" s="305" t="n"/>
      <c r="BA36" s="305" t="n"/>
      <c r="BB36" s="305" t="n"/>
      <c r="BC36" s="74" t="inlineStr">
        <is>
          <t>年間長期休業日</t>
        </is>
      </c>
    </row>
    <row r="37" ht="19.5" customFormat="1" customHeight="1" s="77">
      <c r="B37" s="77" t="inlineStr">
        <is>
          <t>年度始め休業</t>
        </is>
      </c>
      <c r="F37" s="236" t="n"/>
      <c r="G37" s="74" t="n"/>
      <c r="H37" s="74" t="n"/>
      <c r="I37" s="74" t="n"/>
      <c r="J37" s="74" t="n"/>
      <c r="K37" s="74" t="n"/>
      <c r="L37" s="74" t="n"/>
      <c r="M37" s="74" t="n"/>
      <c r="N37" s="235" t="n"/>
      <c r="P37" s="74" t="n"/>
      <c r="Q37" s="74" t="n"/>
      <c r="R37" s="74" t="n"/>
      <c r="S37" s="235">
        <f>COUNTA(C8:C33,H4:H34,L4:L33,P4:P9)</f>
        <v/>
      </c>
      <c r="T37" s="77">
        <f>COUNTA(Q4:Q34,V4:V34)</f>
        <v/>
      </c>
      <c r="W37" s="74" t="n"/>
      <c r="AA37" s="74" t="n"/>
      <c r="AE37" s="74" t="n"/>
      <c r="AI37" s="74" t="n"/>
      <c r="AN37" s="74" t="n"/>
      <c r="AO37" s="236">
        <f>COUNTA(P10:P34,U4:U34,Z4:Z33,AD4:AD34,AH4:AH33,,AL4:AL9)</f>
        <v/>
      </c>
      <c r="AP37" s="74" t="n"/>
      <c r="AQ37" s="74" t="n"/>
      <c r="AR37" s="74">
        <f>COUNTA(AM26:AM34,AR4:AR9)</f>
        <v/>
      </c>
      <c r="AS37" s="74" t="n"/>
      <c r="AT37" s="74">
        <f>COUNTA(AQ4:AQ23,AL10:AL34)</f>
        <v/>
      </c>
      <c r="AV37" s="77">
        <f>COUNTA(BA28:BA34)</f>
        <v/>
      </c>
      <c r="AW37" s="74" t="n"/>
      <c r="AY37" s="326" t="n"/>
      <c r="AZ37" s="326" t="n"/>
      <c r="BA37" s="326" t="n"/>
      <c r="BB37" s="326" t="n"/>
      <c r="BC37" s="74">
        <f>SUM($B$38,$T$37,$AR$37,$AV$37)</f>
        <v/>
      </c>
    </row>
    <row r="38" ht="14.4" customHeight="1">
      <c r="B38" s="236">
        <f>COUNTA(D4:D33)</f>
        <v/>
      </c>
      <c r="AT38" s="74" t="inlineStr">
        <is>
          <t>〇3年3学期テストまで年間</t>
        </is>
      </c>
      <c r="AW38" s="306" t="n"/>
      <c r="AX38" s="307" t="n"/>
      <c r="BB38" s="74" t="inlineStr">
        <is>
          <t>〇</t>
        </is>
      </c>
      <c r="BC38" s="74" t="inlineStr">
        <is>
          <t>3学期授業日数</t>
        </is>
      </c>
      <c r="BD38" s="238" t="n"/>
    </row>
    <row r="39">
      <c r="AW39" s="306" t="n"/>
      <c r="AX39" s="306" t="n"/>
      <c r="BC39" s="74">
        <f>COUNTA($AL$10:$AL$34,$AQ$4:$AQ$34,$AV$4:$AV$34,$AZ$4:$AZ$34)</f>
        <v/>
      </c>
    </row>
    <row r="40">
      <c r="B40" s="79" t="n"/>
      <c r="AT40" s="74">
        <f>$S$37+$AO$37+AT37</f>
        <v/>
      </c>
      <c r="AV40" s="74" t="inlineStr">
        <is>
          <t>〇3年3学期卒業式まで</t>
        </is>
      </c>
      <c r="BB40" s="74" t="inlineStr">
        <is>
          <t>〇</t>
        </is>
      </c>
      <c r="BC40" s="74" t="inlineStr">
        <is>
          <t>年間授業日数</t>
        </is>
      </c>
    </row>
    <row r="41">
      <c r="B41" s="308">
        <f>TODAY()</f>
        <v/>
      </c>
      <c r="AT41" s="74" t="inlineStr">
        <is>
          <t>〇3年3学期1月末まで</t>
        </is>
      </c>
      <c r="AV41" s="74">
        <f>COUNTA($AL$10:$AL$34,$AQ$4:$AQ$34,$AV$4:$AV$34,$AZ$4:$AZ$5)</f>
        <v/>
      </c>
      <c r="BC41" s="74">
        <f>SUM(S37,AO37,BC39)</f>
        <v/>
      </c>
    </row>
    <row r="42">
      <c r="B42" s="309" t="n">
        <v>0.5465277777777777</v>
      </c>
      <c r="AT42" s="74">
        <f>COUNTA(AQ4:AQ34,AL10:AL34)</f>
        <v/>
      </c>
      <c r="AV42" s="74" t="inlineStr">
        <is>
          <t>〇3年3学期卒業式まで年間</t>
        </is>
      </c>
    </row>
    <row r="43">
      <c r="AT43" s="74" t="inlineStr">
        <is>
          <t>〇3年3学期1月末まで年間</t>
        </is>
      </c>
      <c r="AV43" s="74">
        <f>$S$37+$AO$37+$AV$41</f>
        <v/>
      </c>
    </row>
    <row r="44">
      <c r="AT44" s="74">
        <f>$S$37+$AO$37+$AT$42</f>
        <v/>
      </c>
    </row>
  </sheetData>
  <mergeCells count="25">
    <mergeCell ref="AY3:BC3"/>
    <mergeCell ref="O3:S3"/>
    <mergeCell ref="AP3:AT3"/>
    <mergeCell ref="G35:J35"/>
    <mergeCell ref="AG3:AJ3"/>
    <mergeCell ref="B3:F3"/>
    <mergeCell ref="AU3:AX3"/>
    <mergeCell ref="T35:X35"/>
    <mergeCell ref="AK3:AO3"/>
    <mergeCell ref="K3:N3"/>
    <mergeCell ref="AP35:AT35"/>
    <mergeCell ref="K34:N34"/>
    <mergeCell ref="AG35:AJ35"/>
    <mergeCell ref="Y3:AB3"/>
    <mergeCell ref="O35:S35"/>
    <mergeCell ref="AK35:AO35"/>
    <mergeCell ref="AU35:AX35"/>
    <mergeCell ref="AC3:AF3"/>
    <mergeCell ref="K35:N35"/>
    <mergeCell ref="Y35:AB35"/>
    <mergeCell ref="AY35:BC35"/>
    <mergeCell ref="G3:J3"/>
    <mergeCell ref="AC35:AF35"/>
    <mergeCell ref="T3:X3"/>
    <mergeCell ref="B35:F35"/>
  </mergeCells>
  <printOptions horizontalCentered="1" verticalCentered="1"/>
  <pageMargins left="0.25" right="0.25" top="0.75" bottom="0.75" header="0.3" footer="0.3"/>
  <pageSetup orientation="landscape" paperSize="8" scale="65" fitToHeight="0" fitToWidth="0"/>
  <headerFooter>
    <oddHeader>&amp;L_x000a_職員/企画会議資料&amp;R2021.2.26_x000a__x000a_学務開発Ｇ</oddHeader>
    <oddFooter/>
    <evenHeader/>
    <evenFooter/>
    <firstHeader/>
    <firstFooter/>
  </headerFooter>
  <colBreaks count="2" manualBreakCount="2">
    <brk id="28" min="0" max="1048575" man="1"/>
    <brk id="55" min="0" max="1048575" man="1"/>
  </colBreaks>
</worksheet>
</file>

<file path=xl/worksheets/sheet17.xml><?xml version="1.0" encoding="utf-8"?>
<worksheet xmlns="http://schemas.openxmlformats.org/spreadsheetml/2006/main">
  <sheetPr codeName="Sheet16">
    <outlinePr summaryBelow="1" summaryRight="1"/>
    <pageSetUpPr fitToPage="1"/>
  </sheetPr>
  <dimension ref="A1:R39"/>
  <sheetViews>
    <sheetView view="pageBreakPreview" zoomScale="85" zoomScaleNormal="100" zoomScaleSheetLayoutView="85" workbookViewId="0">
      <selection activeCell="E33" sqref="E33"/>
    </sheetView>
  </sheetViews>
  <sheetFormatPr baseColWidth="8" defaultColWidth="9" defaultRowHeight="13.2"/>
  <cols>
    <col width="4.44140625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536" t="inlineStr">
        <is>
          <t>2024年度　１１月　吹奏楽部活動予定</t>
        </is>
      </c>
      <c r="B7" s="525" t="n"/>
      <c r="C7" s="525" t="n"/>
      <c r="D7" s="525" t="n"/>
      <c r="E7" s="526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332" t="n">
        <v>1</v>
      </c>
      <c r="B8" s="332" t="inlineStr">
        <is>
          <t>金</t>
        </is>
      </c>
      <c r="C8" s="331" t="inlineStr">
        <is>
          <t>2年修学旅行　特別時間割</t>
        </is>
      </c>
      <c r="D8" s="339" t="inlineStr">
        <is>
          <t>～18:00</t>
        </is>
      </c>
      <c r="E8" s="339" t="inlineStr">
        <is>
          <t>一年生のみ</t>
        </is>
      </c>
      <c r="F8" s="310" t="inlineStr">
        <is>
          <t>１行  15.75</t>
        </is>
      </c>
      <c r="G8" s="310" t="n"/>
    </row>
    <row r="9" ht="24" customHeight="1">
      <c r="A9" s="333" t="n">
        <v>2</v>
      </c>
      <c r="B9" s="333" t="inlineStr">
        <is>
          <t>土</t>
        </is>
      </c>
      <c r="C9" s="335" t="n"/>
      <c r="D9" s="340" t="inlineStr">
        <is>
          <t>9:00～16:00</t>
        </is>
      </c>
      <c r="E9" s="340" t="inlineStr">
        <is>
          <t>2年生の参加は任意（アンコンはやった方がいいかも）</t>
        </is>
      </c>
      <c r="F9" s="310" t="inlineStr">
        <is>
          <t>MSPゴシック１２　日・曜日・行事</t>
        </is>
      </c>
      <c r="G9" s="310" t="n"/>
    </row>
    <row r="10" ht="24" customHeight="1">
      <c r="A10" s="333" t="n">
        <v>3</v>
      </c>
      <c r="B10" s="333" t="inlineStr">
        <is>
          <t>日</t>
        </is>
      </c>
      <c r="C10" s="335" t="inlineStr">
        <is>
          <t>文化の日</t>
        </is>
      </c>
      <c r="D10" s="340" t="inlineStr">
        <is>
          <t>休み</t>
        </is>
      </c>
      <c r="E10" s="340" t="n"/>
      <c r="F10" s="310" t="n"/>
      <c r="G10" s="310" t="n"/>
    </row>
    <row r="11" ht="24" customHeight="1">
      <c r="A11" s="333" t="n">
        <v>4</v>
      </c>
      <c r="B11" s="333" t="inlineStr">
        <is>
          <t>月</t>
        </is>
      </c>
      <c r="C11" s="335" t="inlineStr">
        <is>
          <t>振替休日</t>
        </is>
      </c>
      <c r="D11" s="340" t="inlineStr">
        <is>
          <t>休み</t>
        </is>
      </c>
      <c r="E11" s="340" t="n"/>
      <c r="F11" s="310" t="n"/>
      <c r="G11" s="310" t="n"/>
    </row>
    <row r="12" ht="24" customHeight="1">
      <c r="A12" s="332" t="n">
        <v>5</v>
      </c>
      <c r="B12" s="332" t="inlineStr">
        <is>
          <t>火</t>
        </is>
      </c>
      <c r="C12" s="331" t="n"/>
      <c r="D12" s="339" t="inlineStr">
        <is>
          <t>～18:00</t>
        </is>
      </c>
      <c r="E12" s="339" t="n"/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332" t="n">
        <v>6</v>
      </c>
      <c r="B13" s="332" t="inlineStr">
        <is>
          <t>水</t>
        </is>
      </c>
      <c r="C13" s="331" t="n"/>
      <c r="D13" s="339" t="inlineStr">
        <is>
          <t>～18:00</t>
        </is>
      </c>
      <c r="E13" s="339" t="n"/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332" t="n">
        <v>7</v>
      </c>
      <c r="B14" s="332" t="inlineStr">
        <is>
          <t>木</t>
        </is>
      </c>
      <c r="C14" s="331" t="inlineStr">
        <is>
          <t>④シェイクアウト訓練・防災避難訓練</t>
        </is>
      </c>
      <c r="D14" s="339" t="inlineStr">
        <is>
          <t>～18:00</t>
        </is>
      </c>
      <c r="E14" s="339" t="n"/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332" t="n">
        <v>8</v>
      </c>
      <c r="B15" s="332" t="inlineStr">
        <is>
          <t>金</t>
        </is>
      </c>
      <c r="C15" s="331" t="n"/>
      <c r="D15" s="339" t="inlineStr">
        <is>
          <t>～18:00</t>
        </is>
      </c>
      <c r="E15" s="339" t="inlineStr">
        <is>
          <t>時任先生の合奏指導</t>
        </is>
      </c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333" t="n">
        <v>9</v>
      </c>
      <c r="B16" s="333" t="inlineStr">
        <is>
          <t>土</t>
        </is>
      </c>
      <c r="C16" s="338" t="inlineStr">
        <is>
          <t>第２回学校説明会
PTA役員会・運営委員会（PM）</t>
        </is>
      </c>
      <c r="D16" s="340" t="inlineStr">
        <is>
          <t>9:00～16:00</t>
        </is>
      </c>
      <c r="E16" s="340" t="inlineStr">
        <is>
          <t>学校説明会で演奏（野球応援）</t>
        </is>
      </c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333" t="n">
        <v>10</v>
      </c>
      <c r="B17" s="333" t="inlineStr">
        <is>
          <t>日</t>
        </is>
      </c>
      <c r="C17" s="335" t="n"/>
      <c r="D17" s="340" t="inlineStr">
        <is>
          <t>休み</t>
        </is>
      </c>
      <c r="E17" s="340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332" t="n">
        <v>11</v>
      </c>
      <c r="B18" s="332" t="inlineStr">
        <is>
          <t>月</t>
        </is>
      </c>
      <c r="C18" s="331" t="inlineStr">
        <is>
          <t>④職業ガイダンス（１年）</t>
        </is>
      </c>
      <c r="D18" s="339" t="inlineStr">
        <is>
          <t>休み</t>
        </is>
      </c>
      <c r="E18" s="339" t="n"/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332" t="n">
        <v>12</v>
      </c>
      <c r="B19" s="332" t="inlineStr">
        <is>
          <t>火</t>
        </is>
      </c>
      <c r="C19" s="331" t="n"/>
      <c r="D19" s="339" t="inlineStr">
        <is>
          <t>～18:00</t>
        </is>
      </c>
      <c r="E19" s="339" t="n"/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332" t="n">
        <v>13</v>
      </c>
      <c r="B20" s="332" t="inlineStr">
        <is>
          <t>水</t>
        </is>
      </c>
      <c r="C20" s="331" t="n"/>
      <c r="D20" s="339" t="inlineStr">
        <is>
          <t>～18:00</t>
        </is>
      </c>
      <c r="E20" s="339" t="n"/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332" t="n">
        <v>14</v>
      </c>
      <c r="B21" s="332" t="inlineStr">
        <is>
          <t>木</t>
        </is>
      </c>
      <c r="C21" s="334" t="inlineStr">
        <is>
          <t>④地域清掃２年
職員会議</t>
        </is>
      </c>
      <c r="D21" s="339" t="inlineStr">
        <is>
          <t>～18:00</t>
        </is>
      </c>
      <c r="E21" s="339" t="inlineStr">
        <is>
          <t>昭和音大に行って音大生と一緒にリハーサル</t>
        </is>
      </c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332" t="n">
        <v>15</v>
      </c>
      <c r="B22" s="332" t="inlineStr">
        <is>
          <t>金</t>
        </is>
      </c>
      <c r="C22" s="331" t="inlineStr">
        <is>
          <t>40周年記念式典・芸術鑑賞会</t>
        </is>
      </c>
      <c r="D22" s="339" t="inlineStr">
        <is>
          <t>本番</t>
        </is>
      </c>
      <c r="E22" s="339" t="inlineStr">
        <is>
          <t>ラデツキー行進曲昭和音大オケと共演</t>
        </is>
      </c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333" t="n">
        <v>16</v>
      </c>
      <c r="B23" s="333" t="inlineStr">
        <is>
          <t>土</t>
        </is>
      </c>
      <c r="C23" s="335" t="n"/>
      <c r="D23" s="340" t="inlineStr">
        <is>
          <t>本番</t>
        </is>
      </c>
      <c r="E23" s="340" t="inlineStr">
        <is>
          <t>アンサンブルコンテスト（他の人は休み）</t>
        </is>
      </c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333" t="n">
        <v>17</v>
      </c>
      <c r="B24" s="333" t="inlineStr">
        <is>
          <t>日</t>
        </is>
      </c>
      <c r="C24" s="335" t="n"/>
      <c r="D24" s="340" t="inlineStr">
        <is>
          <t>休み</t>
        </is>
      </c>
      <c r="E24" s="340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332" t="n">
        <v>18</v>
      </c>
      <c r="B25" s="332" t="inlineStr">
        <is>
          <t>月</t>
        </is>
      </c>
      <c r="C25" s="331" t="inlineStr">
        <is>
          <t>④分野別説明会（２年)</t>
        </is>
      </c>
      <c r="D25" s="339" t="inlineStr">
        <is>
          <t>休み</t>
        </is>
      </c>
      <c r="E25" s="339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332" t="n">
        <v>19</v>
      </c>
      <c r="B26" s="332" t="inlineStr">
        <is>
          <t>火</t>
        </is>
      </c>
      <c r="C26" s="331" t="n"/>
      <c r="D26" s="339" t="inlineStr">
        <is>
          <t>～18:00</t>
        </is>
      </c>
      <c r="E26" s="339" t="n"/>
      <c r="F26" s="310" t="n"/>
      <c r="G26" s="310" t="n"/>
    </row>
    <row r="27" ht="24" customHeight="1">
      <c r="A27" s="332" t="n">
        <v>20</v>
      </c>
      <c r="B27" s="332" t="inlineStr">
        <is>
          <t>水</t>
        </is>
      </c>
      <c r="C27" s="331" t="n"/>
      <c r="D27" s="339" t="inlineStr">
        <is>
          <t>～18:00</t>
        </is>
      </c>
      <c r="E27" s="339" t="n"/>
      <c r="F27" s="310" t="n"/>
      <c r="G27" s="310" t="n"/>
    </row>
    <row r="28" ht="24" customHeight="1">
      <c r="A28" s="332" t="n">
        <v>21</v>
      </c>
      <c r="B28" s="332" t="inlineStr">
        <is>
          <t>木</t>
        </is>
      </c>
      <c r="C28" s="331" t="inlineStr">
        <is>
          <t>④地域清掃1年　　産業医来校　　衛生委員会</t>
        </is>
      </c>
      <c r="D28" s="339" t="inlineStr">
        <is>
          <t>～18:00</t>
        </is>
      </c>
      <c r="E28" s="339" t="n"/>
      <c r="F28" s="310" t="n"/>
      <c r="G28" s="310" t="n"/>
    </row>
    <row r="29" ht="24" customHeight="1">
      <c r="A29" s="332" t="n">
        <v>22</v>
      </c>
      <c r="B29" s="332" t="inlineStr">
        <is>
          <t>金</t>
        </is>
      </c>
      <c r="C29" s="331" t="n"/>
      <c r="D29" s="339" t="inlineStr">
        <is>
          <t>～18:00</t>
        </is>
      </c>
      <c r="E29" s="339" t="n"/>
      <c r="F29" s="310" t="n"/>
      <c r="G29" s="310" t="n"/>
    </row>
    <row r="30" ht="24" customHeight="1">
      <c r="A30" s="333" t="n">
        <v>23</v>
      </c>
      <c r="B30" s="333" t="inlineStr">
        <is>
          <t>土</t>
        </is>
      </c>
      <c r="C30" s="335" t="inlineStr">
        <is>
          <t>勤労感謝の日</t>
        </is>
      </c>
      <c r="D30" s="340" t="inlineStr">
        <is>
          <t>9:00～12:00</t>
        </is>
      </c>
      <c r="E30" s="340" t="inlineStr">
        <is>
          <t>（中田多分不在）</t>
        </is>
      </c>
      <c r="F30" s="310" t="n"/>
      <c r="G30" s="310" t="n"/>
    </row>
    <row r="31" ht="24" customHeight="1">
      <c r="A31" s="333" t="n">
        <v>24</v>
      </c>
      <c r="B31" s="333" t="inlineStr">
        <is>
          <t>日</t>
        </is>
      </c>
      <c r="C31" s="335" t="n"/>
      <c r="D31" s="340" t="inlineStr">
        <is>
          <t>休み</t>
        </is>
      </c>
      <c r="E31" s="340" t="n"/>
      <c r="F31" s="310" t="n"/>
      <c r="G31" s="310" t="n"/>
    </row>
    <row r="32" ht="24" customHeight="1">
      <c r="A32" s="332" t="n">
        <v>25</v>
      </c>
      <c r="B32" s="332" t="inlineStr">
        <is>
          <t>月</t>
        </is>
      </c>
      <c r="C32" s="331" t="n"/>
      <c r="D32" s="339" t="inlineStr">
        <is>
          <t>休み</t>
        </is>
      </c>
      <c r="E32" s="339" t="n"/>
      <c r="F32" s="310" t="n"/>
      <c r="G32" s="310" t="n"/>
    </row>
    <row r="33" ht="24" customHeight="1">
      <c r="A33" s="332" t="n">
        <v>26</v>
      </c>
      <c r="B33" s="332" t="inlineStr">
        <is>
          <t>火</t>
        </is>
      </c>
      <c r="C33" s="331" t="n"/>
      <c r="D33" s="339" t="inlineStr">
        <is>
          <t>休み</t>
        </is>
      </c>
      <c r="E33" s="339" t="inlineStr">
        <is>
          <t>12/3～期末試験</t>
        </is>
      </c>
      <c r="F33" s="310" t="n"/>
      <c r="G33" s="310" t="n"/>
    </row>
    <row r="34" ht="24" customHeight="1">
      <c r="A34" s="332" t="n">
        <v>27</v>
      </c>
      <c r="B34" s="332" t="inlineStr">
        <is>
          <t>水</t>
        </is>
      </c>
      <c r="C34" s="331" t="n"/>
      <c r="D34" s="339" t="inlineStr">
        <is>
          <t>休み</t>
        </is>
      </c>
      <c r="E34" s="339" t="n"/>
      <c r="F34" s="310" t="n"/>
      <c r="G34" s="310" t="n"/>
    </row>
    <row r="35" ht="24" customHeight="1">
      <c r="A35" s="332" t="n">
        <v>28</v>
      </c>
      <c r="B35" s="332" t="inlineStr">
        <is>
          <t>木</t>
        </is>
      </c>
      <c r="C35" s="331" t="inlineStr">
        <is>
          <t>④生徒総会</t>
        </is>
      </c>
      <c r="D35" s="339" t="inlineStr">
        <is>
          <t>休み</t>
        </is>
      </c>
      <c r="E35" s="339" t="n"/>
      <c r="F35" s="310" t="n"/>
      <c r="G35" s="310" t="n"/>
    </row>
    <row r="36" ht="24" customHeight="1">
      <c r="A36" s="332" t="n">
        <v>29</v>
      </c>
      <c r="B36" s="332" t="inlineStr">
        <is>
          <t>金</t>
        </is>
      </c>
      <c r="C36" s="331" t="inlineStr">
        <is>
          <t>遅刻ゼロの日</t>
        </is>
      </c>
      <c r="D36" s="339" t="inlineStr">
        <is>
          <t>休み</t>
        </is>
      </c>
      <c r="E36" s="339" t="n"/>
      <c r="F36" s="310" t="n"/>
      <c r="G36" s="310" t="n"/>
    </row>
    <row r="37" ht="24" customHeight="1">
      <c r="A37" s="333" t="n">
        <v>30</v>
      </c>
      <c r="B37" s="333" t="inlineStr">
        <is>
          <t>土</t>
        </is>
      </c>
      <c r="C37" s="335" t="n"/>
      <c r="D37" s="340" t="inlineStr">
        <is>
          <t>休み</t>
        </is>
      </c>
      <c r="E37" s="340" t="n"/>
      <c r="F37" s="310" t="n"/>
      <c r="G37" s="310" t="n"/>
    </row>
    <row r="38" ht="24" customHeight="1" thickBot="1">
      <c r="A38" s="332" t="n"/>
      <c r="B38" s="332" t="n"/>
      <c r="C38" s="334" t="n"/>
      <c r="D38" s="339" t="n"/>
      <c r="E38" s="339" t="n"/>
      <c r="F38" s="310" t="n"/>
      <c r="G38" s="310" t="n"/>
    </row>
    <row r="39" ht="126.75" customHeight="1" thickBot="1">
      <c r="A39" s="524" t="inlineStr">
        <is>
          <t>11/9学校説明会
11/15麻生高校40周年記念式典で昭和音大と共演（3年生も一緒にやりましょう）
11/16アンサンブルコンテスト
12/26か12/27 高文連吹奏楽祭（相模女子大学グリーンホール）</t>
        </is>
      </c>
      <c r="B39" s="525" t="n"/>
      <c r="C39" s="525" t="n"/>
      <c r="D39" s="525" t="n"/>
      <c r="E39" s="526" t="n"/>
      <c r="F39" s="345" t="n"/>
      <c r="G39" s="345" t="n"/>
    </row>
  </sheetData>
  <mergeCells count="8">
    <mergeCell ref="A39:E39"/>
    <mergeCell ref="A4:C4"/>
    <mergeCell ref="A1:C1"/>
    <mergeCell ref="A5:C5"/>
    <mergeCell ref="A7:E7"/>
    <mergeCell ref="A3:C3"/>
    <mergeCell ref="A6:E6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5" horizontalDpi="4294967294"/>
</worksheet>
</file>

<file path=xl/worksheets/sheet18.xml><?xml version="1.0" encoding="utf-8"?>
<worksheet xmlns="http://schemas.openxmlformats.org/spreadsheetml/2006/main">
  <sheetPr codeName="Sheet17">
    <outlinePr summaryBelow="1" summaryRight="1"/>
    <pageSetUpPr fitToPage="1"/>
  </sheetPr>
  <dimension ref="A1:R39"/>
  <sheetViews>
    <sheetView view="pageBreakPreview" zoomScale="85" zoomScaleNormal="100" zoomScaleSheetLayoutView="85" workbookViewId="0">
      <selection activeCell="E19" sqref="E19"/>
    </sheetView>
  </sheetViews>
  <sheetFormatPr baseColWidth="8" defaultColWidth="9" defaultRowHeight="13.2"/>
  <cols>
    <col width="4.44140625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536" t="inlineStr">
        <is>
          <t>2024年度　１2月　吹奏楽部活動予定</t>
        </is>
      </c>
      <c r="B7" s="525" t="n"/>
      <c r="C7" s="525" t="n"/>
      <c r="D7" s="525" t="n"/>
      <c r="E7" s="526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341" t="n">
        <v>1</v>
      </c>
      <c r="B8" s="341" t="inlineStr">
        <is>
          <t>日</t>
        </is>
      </c>
      <c r="C8" s="335" t="n"/>
      <c r="D8" s="343" t="inlineStr">
        <is>
          <t>休み</t>
        </is>
      </c>
      <c r="E8" s="343" t="n"/>
      <c r="F8" s="310" t="inlineStr">
        <is>
          <t>１行  15.75</t>
        </is>
      </c>
      <c r="G8" s="310" t="n"/>
    </row>
    <row r="9" ht="24" customHeight="1">
      <c r="A9" s="342" t="n">
        <v>2</v>
      </c>
      <c r="B9" s="342" t="inlineStr">
        <is>
          <t>月</t>
        </is>
      </c>
      <c r="C9" s="331" t="inlineStr">
        <is>
          <t>40×7</t>
        </is>
      </c>
      <c r="D9" s="344" t="inlineStr">
        <is>
          <t>休み</t>
        </is>
      </c>
      <c r="E9" s="344" t="n"/>
      <c r="F9" s="310" t="inlineStr">
        <is>
          <t>MSPゴシック１２　日・曜日・行事</t>
        </is>
      </c>
      <c r="G9" s="310" t="n"/>
    </row>
    <row r="10" ht="24" customHeight="1">
      <c r="A10" s="342" t="n">
        <v>3</v>
      </c>
      <c r="B10" s="342" t="inlineStr">
        <is>
          <t>火</t>
        </is>
      </c>
      <c r="C10" s="331" t="inlineStr">
        <is>
          <t>期末テスト　  服装・頭髪検査（テスト期間）</t>
        </is>
      </c>
      <c r="D10" s="344" t="inlineStr">
        <is>
          <t>休み</t>
        </is>
      </c>
      <c r="E10" s="344" t="n"/>
      <c r="F10" s="310" t="n"/>
      <c r="G10" s="310" t="n"/>
    </row>
    <row r="11" ht="24" customHeight="1">
      <c r="A11" s="342" t="n">
        <v>4</v>
      </c>
      <c r="B11" s="342" t="inlineStr">
        <is>
          <t>水</t>
        </is>
      </c>
      <c r="C11" s="331" t="inlineStr">
        <is>
          <t xml:space="preserve">期末テスト　</t>
        </is>
      </c>
      <c r="D11" s="344" t="inlineStr">
        <is>
          <t>休み</t>
        </is>
      </c>
      <c r="E11" s="344" t="n"/>
      <c r="F11" s="310" t="n"/>
      <c r="G11" s="310" t="n"/>
    </row>
    <row r="12" ht="24" customHeight="1">
      <c r="A12" s="342" t="n">
        <v>5</v>
      </c>
      <c r="B12" s="342" t="inlineStr">
        <is>
          <t>木</t>
        </is>
      </c>
      <c r="C12" s="331" t="inlineStr">
        <is>
          <t xml:space="preserve">期末テスト　　　　　　　　　</t>
        </is>
      </c>
      <c r="D12" s="344" t="inlineStr">
        <is>
          <t>休み</t>
        </is>
      </c>
      <c r="E12" s="344" t="n"/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342" t="n">
        <v>6</v>
      </c>
      <c r="B13" s="342" t="inlineStr">
        <is>
          <t>金</t>
        </is>
      </c>
      <c r="C13" s="331" t="inlineStr">
        <is>
          <t xml:space="preserve">期末テスト　　　　　　　　　</t>
        </is>
      </c>
      <c r="D13" s="344" t="inlineStr">
        <is>
          <t>～16:00</t>
        </is>
      </c>
      <c r="E13" s="344" t="inlineStr">
        <is>
          <t>中田不在</t>
        </is>
      </c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341" t="n">
        <v>7</v>
      </c>
      <c r="B14" s="341" t="inlineStr">
        <is>
          <t>土</t>
        </is>
      </c>
      <c r="C14" s="335" t="n"/>
      <c r="D14" s="343" t="inlineStr">
        <is>
          <t>9:00～16:00</t>
        </is>
      </c>
      <c r="E14" s="343" t="n"/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341" t="n">
        <v>8</v>
      </c>
      <c r="B15" s="341" t="inlineStr">
        <is>
          <t>日</t>
        </is>
      </c>
      <c r="C15" s="335" t="n"/>
      <c r="D15" s="343" t="inlineStr">
        <is>
          <t>休み</t>
        </is>
      </c>
      <c r="E15" s="343" t="n"/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342" t="n">
        <v>9</v>
      </c>
      <c r="B16" s="342" t="inlineStr">
        <is>
          <t>月</t>
        </is>
      </c>
      <c r="C16" s="331" t="inlineStr">
        <is>
          <t>特別時間割①～⑥</t>
        </is>
      </c>
      <c r="D16" s="344" t="inlineStr">
        <is>
          <t>休み</t>
        </is>
      </c>
      <c r="E16" s="344" t="n"/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342" t="n">
        <v>10</v>
      </c>
      <c r="B17" s="342" t="inlineStr">
        <is>
          <t>火</t>
        </is>
      </c>
      <c r="C17" s="331" t="inlineStr">
        <is>
          <t>特別時間割①～⑥</t>
        </is>
      </c>
      <c r="D17" s="344" t="inlineStr">
        <is>
          <t>～17:00</t>
        </is>
      </c>
      <c r="E17" s="344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342" t="n">
        <v>11</v>
      </c>
      <c r="B18" s="342" t="inlineStr">
        <is>
          <t>水</t>
        </is>
      </c>
      <c r="C18" s="331" t="inlineStr">
        <is>
          <t xml:space="preserve">特別時間割①～⑥　素点・欠時入力締切　　</t>
        </is>
      </c>
      <c r="D18" s="344" t="inlineStr">
        <is>
          <t>～17:00</t>
        </is>
      </c>
      <c r="E18" s="344" t="inlineStr">
        <is>
          <t>中田不在</t>
        </is>
      </c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342" t="n">
        <v>12</v>
      </c>
      <c r="B19" s="342" t="inlineStr">
        <is>
          <t>木</t>
        </is>
      </c>
      <c r="C19" s="334" t="inlineStr">
        <is>
          <t>40×5　素点・欠時表配付　　
あいさつ運動　　産業医来校　　衛生委員会</t>
        </is>
      </c>
      <c r="D19" s="344" t="inlineStr">
        <is>
          <t>～17:00</t>
        </is>
      </c>
      <c r="E19" s="344" t="n"/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342" t="n">
        <v>13</v>
      </c>
      <c r="B20" s="342" t="inlineStr">
        <is>
          <t>金</t>
        </is>
      </c>
      <c r="C20" s="331" t="inlineStr">
        <is>
          <t xml:space="preserve">40×5　教科会　</t>
        </is>
      </c>
      <c r="D20" s="344" t="inlineStr">
        <is>
          <t>～17:00</t>
        </is>
      </c>
      <c r="E20" s="344" t="n"/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341" t="n">
        <v>14</v>
      </c>
      <c r="B21" s="341" t="inlineStr">
        <is>
          <t>土</t>
        </is>
      </c>
      <c r="C21" s="338" t="inlineStr">
        <is>
          <t>第３回学校説明会
PTA役員会・運営委員会（PM）</t>
        </is>
      </c>
      <c r="D21" s="343" t="inlineStr">
        <is>
          <t>9:00～16:00</t>
        </is>
      </c>
      <c r="E21" s="343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341" t="n">
        <v>15</v>
      </c>
      <c r="B22" s="341" t="inlineStr">
        <is>
          <t>日</t>
        </is>
      </c>
      <c r="C22" s="335" t="n"/>
      <c r="D22" s="343" t="inlineStr">
        <is>
          <t>休み</t>
        </is>
      </c>
      <c r="E22" s="343" t="n"/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342" t="n">
        <v>16</v>
      </c>
      <c r="B23" s="342" t="inlineStr">
        <is>
          <t>月</t>
        </is>
      </c>
      <c r="C23" s="331" t="inlineStr">
        <is>
          <t>40×5　データ点検（1.2年）</t>
        </is>
      </c>
      <c r="D23" s="344" t="inlineStr">
        <is>
          <t>休み</t>
        </is>
      </c>
      <c r="E23" s="344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342" t="n">
        <v>17</v>
      </c>
      <c r="B24" s="342" t="inlineStr">
        <is>
          <t>火</t>
        </is>
      </c>
      <c r="C24" s="334" t="inlineStr">
        <is>
          <t>40×5　　　
データ点検（3年）・成績入力締切</t>
        </is>
      </c>
      <c r="D24" s="344" t="inlineStr">
        <is>
          <t>～17:00</t>
        </is>
      </c>
      <c r="E24" s="344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342" t="n">
        <v>18</v>
      </c>
      <c r="B25" s="342" t="inlineStr">
        <is>
          <t>水</t>
        </is>
      </c>
      <c r="C25" s="334" t="inlineStr">
        <is>
          <t xml:space="preserve">40×5　成績一斉点検　</t>
        </is>
      </c>
      <c r="D25" s="344" t="inlineStr">
        <is>
          <t>～17:00</t>
        </is>
      </c>
      <c r="E25" s="344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342" t="n">
        <v>19</v>
      </c>
      <c r="B26" s="342" t="inlineStr">
        <is>
          <t>木</t>
        </is>
      </c>
      <c r="C26" s="334" t="inlineStr">
        <is>
          <t>40×5　学年会・一覧表点検・提出</t>
        </is>
      </c>
      <c r="D26" s="344" t="inlineStr">
        <is>
          <t>～17:00</t>
        </is>
      </c>
      <c r="E26" s="344" t="n"/>
      <c r="F26" s="310" t="n"/>
      <c r="G26" s="310" t="n"/>
    </row>
    <row r="27" ht="24" customHeight="1">
      <c r="A27" s="342" t="n">
        <v>20</v>
      </c>
      <c r="B27" s="342" t="inlineStr">
        <is>
          <t>金</t>
        </is>
      </c>
      <c r="C27" s="334" t="inlineStr">
        <is>
          <t>40×5　成績会議・職員会議</t>
        </is>
      </c>
      <c r="D27" s="344" t="inlineStr">
        <is>
          <t>～17:00</t>
        </is>
      </c>
      <c r="E27" s="344" t="n"/>
      <c r="F27" s="310" t="n"/>
      <c r="G27" s="310" t="n"/>
    </row>
    <row r="28" ht="24" customHeight="1">
      <c r="A28" s="341" t="n">
        <v>21</v>
      </c>
      <c r="B28" s="341" t="inlineStr">
        <is>
          <t>土</t>
        </is>
      </c>
      <c r="C28" s="335" t="n"/>
      <c r="D28" s="343" t="inlineStr">
        <is>
          <t>9:00～16:00</t>
        </is>
      </c>
      <c r="E28" s="343" t="n"/>
      <c r="F28" s="310" t="n"/>
      <c r="G28" s="310" t="n"/>
    </row>
    <row r="29" ht="24" customHeight="1">
      <c r="A29" s="341" t="n">
        <v>22</v>
      </c>
      <c r="B29" s="341" t="inlineStr">
        <is>
          <t>日</t>
        </is>
      </c>
      <c r="C29" s="335" t="n"/>
      <c r="D29" s="343" t="inlineStr">
        <is>
          <t>休み</t>
        </is>
      </c>
      <c r="E29" s="343" t="n"/>
      <c r="F29" s="310" t="n"/>
      <c r="G29" s="310" t="n"/>
    </row>
    <row r="30" ht="24" customHeight="1">
      <c r="A30" s="342" t="n">
        <v>23</v>
      </c>
      <c r="B30" s="342" t="inlineStr">
        <is>
          <t>月</t>
        </is>
      </c>
      <c r="C30" s="334" t="inlineStr">
        <is>
          <t>40×5　
通知表データ確認　調査書準備</t>
        </is>
      </c>
      <c r="D30" s="344" t="inlineStr">
        <is>
          <t>休み</t>
        </is>
      </c>
      <c r="E30" s="344" t="inlineStr">
        <is>
          <t>（宇津木コーチ演奏会）</t>
        </is>
      </c>
      <c r="F30" s="310" t="n"/>
      <c r="G30" s="310" t="n"/>
    </row>
    <row r="31" ht="24" customHeight="1">
      <c r="A31" s="342" t="n">
        <v>24</v>
      </c>
      <c r="B31" s="342" t="inlineStr">
        <is>
          <t>火</t>
        </is>
      </c>
      <c r="C31" s="331" t="inlineStr">
        <is>
          <t xml:space="preserve">
大掃除・終業式・LHR　調査書点検</t>
        </is>
      </c>
      <c r="D31" s="344" t="inlineStr">
        <is>
          <t>～17:00</t>
        </is>
      </c>
      <c r="E31" s="344" t="n"/>
      <c r="F31" s="310" t="n"/>
      <c r="G31" s="310" t="n"/>
    </row>
    <row r="32" ht="24" customHeight="1">
      <c r="A32" s="342" t="n">
        <v>25</v>
      </c>
      <c r="B32" s="342" t="inlineStr">
        <is>
          <t>水</t>
        </is>
      </c>
      <c r="C32" s="334" t="inlineStr">
        <is>
          <t>冬季休業開始
調査書管理職点検①</t>
        </is>
      </c>
      <c r="D32" s="344" t="inlineStr">
        <is>
          <t>～17:00</t>
        </is>
      </c>
      <c r="E32" s="344" t="inlineStr">
        <is>
          <t>レクやりますか？</t>
        </is>
      </c>
      <c r="F32" s="310" t="n"/>
      <c r="G32" s="310" t="n"/>
    </row>
    <row r="33" ht="24" customHeight="1">
      <c r="A33" s="342" t="n">
        <v>26</v>
      </c>
      <c r="B33" s="342" t="inlineStr">
        <is>
          <t>木</t>
        </is>
      </c>
      <c r="C33" s="331" t="inlineStr">
        <is>
          <t>調査書管理職点検②</t>
        </is>
      </c>
      <c r="D33" s="344" t="inlineStr">
        <is>
          <t>本番</t>
        </is>
      </c>
      <c r="E33" s="344" t="inlineStr">
        <is>
          <t>高文連吹奏楽祭（相模女子大学グリーンホール）</t>
        </is>
      </c>
      <c r="F33" s="310" t="n"/>
      <c r="G33" s="310" t="n"/>
    </row>
    <row r="34" ht="24" customHeight="1">
      <c r="A34" s="342" t="n">
        <v>27</v>
      </c>
      <c r="B34" s="342" t="inlineStr">
        <is>
          <t>金</t>
        </is>
      </c>
      <c r="C34" s="331" t="inlineStr">
        <is>
          <t>3年担任・管理職調査書発行業務</t>
        </is>
      </c>
      <c r="D34" s="344" t="inlineStr">
        <is>
          <t>9:00～15:00</t>
        </is>
      </c>
      <c r="E34" s="344" t="inlineStr">
        <is>
          <t>吹き収め会＆大掃除</t>
        </is>
      </c>
      <c r="F34" s="310" t="n"/>
      <c r="G34" s="310" t="n"/>
    </row>
    <row r="35" ht="24" customHeight="1">
      <c r="A35" s="341" t="n">
        <v>28</v>
      </c>
      <c r="B35" s="341" t="inlineStr">
        <is>
          <t>土</t>
        </is>
      </c>
      <c r="C35" s="335" t="inlineStr">
        <is>
          <t>学校閉庁日</t>
        </is>
      </c>
      <c r="D35" s="343" t="inlineStr">
        <is>
          <t>休み</t>
        </is>
      </c>
      <c r="E35" s="343" t="n"/>
      <c r="F35" s="310" t="n"/>
      <c r="G35" s="310" t="n"/>
    </row>
    <row r="36" ht="24" customHeight="1">
      <c r="A36" s="341" t="n">
        <v>29</v>
      </c>
      <c r="B36" s="341" t="inlineStr">
        <is>
          <t>日</t>
        </is>
      </c>
      <c r="C36" s="335" t="n"/>
      <c r="D36" s="343" t="inlineStr">
        <is>
          <t>休み</t>
        </is>
      </c>
      <c r="E36" s="343" t="n"/>
      <c r="F36" s="310" t="n"/>
      <c r="G36" s="310" t="n"/>
    </row>
    <row r="37" ht="24" customHeight="1">
      <c r="A37" s="342" t="n">
        <v>30</v>
      </c>
      <c r="B37" s="342" t="inlineStr">
        <is>
          <t>月</t>
        </is>
      </c>
      <c r="C37" s="331" t="n"/>
      <c r="D37" s="344" t="inlineStr">
        <is>
          <t>休み</t>
        </is>
      </c>
      <c r="E37" s="344" t="n"/>
      <c r="F37" s="310" t="n"/>
      <c r="G37" s="310" t="n"/>
    </row>
    <row r="38" ht="24" customHeight="1" thickBot="1">
      <c r="A38" s="342" t="n">
        <v>31</v>
      </c>
      <c r="B38" s="342" t="inlineStr">
        <is>
          <t>火</t>
        </is>
      </c>
      <c r="C38" s="331" t="n"/>
      <c r="D38" s="344" t="inlineStr">
        <is>
          <t>休み</t>
        </is>
      </c>
      <c r="E38" s="344" t="n"/>
      <c r="F38" s="310" t="n"/>
      <c r="G38" s="310" t="n"/>
    </row>
    <row r="39" ht="126.75" customHeight="1" thickBot="1" thickTop="1">
      <c r="A39" s="524" t="inlineStr">
        <is>
          <t>12/26高文連吹奏楽祭（相模女子大学グリーンホール）
1/11リード百愉会カルッツかわさき出演
定期演奏会の曲もそろそろ始めましょう。
チラシができていれば、リード百愉会に挟み込めます</t>
        </is>
      </c>
      <c r="B39" s="525" t="n"/>
      <c r="C39" s="525" t="n"/>
      <c r="D39" s="525" t="n"/>
      <c r="E39" s="526" t="n"/>
      <c r="F39" s="327" t="n"/>
      <c r="G39" s="313" t="n"/>
    </row>
  </sheetData>
  <mergeCells count="8">
    <mergeCell ref="A39:E39"/>
    <mergeCell ref="A4:C4"/>
    <mergeCell ref="A1:C1"/>
    <mergeCell ref="A5:C5"/>
    <mergeCell ref="A7:E7"/>
    <mergeCell ref="A3:C3"/>
    <mergeCell ref="A6:E6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5" horizontalDpi="4294967294"/>
</worksheet>
</file>

<file path=xl/worksheets/sheet19.xml><?xml version="1.0" encoding="utf-8"?>
<worksheet xmlns="http://schemas.openxmlformats.org/spreadsheetml/2006/main">
  <sheetPr codeName="Sheet18">
    <outlinePr summaryBelow="1" summaryRight="1"/>
    <pageSetUpPr fitToPage="1"/>
  </sheetPr>
  <dimension ref="A1:R39"/>
  <sheetViews>
    <sheetView view="pageBreakPreview" topLeftCell="A4" zoomScale="85" zoomScaleNormal="100" zoomScaleSheetLayoutView="85" workbookViewId="0">
      <selection activeCell="A39" sqref="A39:E39"/>
    </sheetView>
  </sheetViews>
  <sheetFormatPr baseColWidth="8" defaultColWidth="9" defaultRowHeight="13.2"/>
  <cols>
    <col width="4.44140625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536" t="inlineStr">
        <is>
          <t>2024年度　１月　吹奏楽部活動予定</t>
        </is>
      </c>
      <c r="B7" s="525" t="n"/>
      <c r="C7" s="525" t="n"/>
      <c r="D7" s="525" t="n"/>
      <c r="E7" s="526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346" t="n">
        <v>1</v>
      </c>
      <c r="B8" s="347" t="inlineStr">
        <is>
          <t>水</t>
        </is>
      </c>
      <c r="C8" s="348" t="inlineStr">
        <is>
          <t xml:space="preserve">元日　</t>
        </is>
      </c>
      <c r="D8" s="348" t="inlineStr">
        <is>
          <t>休み</t>
        </is>
      </c>
      <c r="E8" s="348" t="n"/>
      <c r="F8" s="310" t="inlineStr">
        <is>
          <t>１行  15.75</t>
        </is>
      </c>
      <c r="G8" s="310" t="n"/>
    </row>
    <row r="9" ht="24" customHeight="1">
      <c r="A9" s="349" t="n">
        <v>2</v>
      </c>
      <c r="B9" s="350" t="inlineStr">
        <is>
          <t>木</t>
        </is>
      </c>
      <c r="C9" s="351" t="n"/>
      <c r="D9" s="351" t="inlineStr">
        <is>
          <t>休み</t>
        </is>
      </c>
      <c r="E9" s="351" t="n"/>
      <c r="F9" s="310" t="inlineStr">
        <is>
          <t>MSPゴシック１２　日・曜日・行事</t>
        </is>
      </c>
      <c r="G9" s="310" t="n"/>
    </row>
    <row r="10" ht="24" customHeight="1">
      <c r="A10" s="349" t="n">
        <v>3</v>
      </c>
      <c r="B10" s="350" t="inlineStr">
        <is>
          <t>金</t>
        </is>
      </c>
      <c r="C10" s="351" t="n"/>
      <c r="D10" s="351" t="inlineStr">
        <is>
          <t>休み</t>
        </is>
      </c>
      <c r="E10" s="351" t="n"/>
      <c r="F10" s="310" t="n"/>
      <c r="G10" s="310" t="n"/>
    </row>
    <row r="11" ht="24" customHeight="1">
      <c r="A11" s="352" t="n">
        <v>4</v>
      </c>
      <c r="B11" s="353" t="inlineStr">
        <is>
          <t>土</t>
        </is>
      </c>
      <c r="C11" s="354" t="inlineStr">
        <is>
          <t>学校閉庁日</t>
        </is>
      </c>
      <c r="D11" s="354" t="inlineStr">
        <is>
          <t>休み</t>
        </is>
      </c>
      <c r="E11" s="354" t="n"/>
      <c r="F11" s="310" t="n"/>
      <c r="G11" s="310" t="n"/>
    </row>
    <row r="12" ht="24" customHeight="1">
      <c r="A12" s="352" t="n">
        <v>5</v>
      </c>
      <c r="B12" s="353" t="inlineStr">
        <is>
          <t>日</t>
        </is>
      </c>
      <c r="C12" s="354" t="n"/>
      <c r="D12" s="354" t="inlineStr">
        <is>
          <t>休み</t>
        </is>
      </c>
      <c r="E12" s="354" t="n"/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349" t="n">
        <v>6</v>
      </c>
      <c r="B13" s="350" t="inlineStr">
        <is>
          <t>月</t>
        </is>
      </c>
      <c r="C13" s="351" t="n"/>
      <c r="D13" s="351" t="inlineStr">
        <is>
          <t>休み</t>
        </is>
      </c>
      <c r="E13" s="351" t="n"/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349" t="n">
        <v>7</v>
      </c>
      <c r="B14" s="350" t="inlineStr">
        <is>
          <t>火</t>
        </is>
      </c>
      <c r="C14" s="355" t="inlineStr">
        <is>
          <t xml:space="preserve">冬季休業終了　　</t>
        </is>
      </c>
      <c r="D14" s="355" t="inlineStr">
        <is>
          <t>9:00～16:00</t>
        </is>
      </c>
      <c r="E14" s="355" t="inlineStr">
        <is>
          <t>（近くの神社に初詣？）</t>
        </is>
      </c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349" t="n">
        <v>8</v>
      </c>
      <c r="B15" s="350" t="inlineStr">
        <is>
          <t>水</t>
        </is>
      </c>
      <c r="C15" s="355" t="inlineStr">
        <is>
          <t>３学期始業式＋45×6</t>
        </is>
      </c>
      <c r="D15" s="355" t="inlineStr">
        <is>
          <t>～16:00</t>
        </is>
      </c>
      <c r="E15" s="355" t="n"/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349" t="n">
        <v>9</v>
      </c>
      <c r="B16" s="350" t="inlineStr">
        <is>
          <t>木</t>
        </is>
      </c>
      <c r="C16" s="351" t="inlineStr">
        <is>
          <t>火①②③LHR⑤⑥　　SC来校</t>
        </is>
      </c>
      <c r="D16" s="351" t="inlineStr">
        <is>
          <t>～16:00</t>
        </is>
      </c>
      <c r="E16" s="351" t="n"/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349" t="n">
        <v>10</v>
      </c>
      <c r="B17" s="350" t="inlineStr">
        <is>
          <t>金</t>
        </is>
      </c>
      <c r="C17" s="351" t="n"/>
      <c r="D17" s="351" t="inlineStr">
        <is>
          <t>～17:00</t>
        </is>
      </c>
      <c r="E17" s="351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9.25" customHeight="1">
      <c r="A18" s="352" t="n">
        <v>11</v>
      </c>
      <c r="B18" s="353" t="inlineStr">
        <is>
          <t>土</t>
        </is>
      </c>
      <c r="C18" s="354" t="n"/>
      <c r="D18" s="354" t="inlineStr">
        <is>
          <t>11:00～18:00</t>
        </is>
      </c>
      <c r="E18" s="359" t="inlineStr">
        <is>
          <t>リード百愉会本番
（11:00頃カルッツ集合～15:00本番～18:00頃解散）</t>
        </is>
      </c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352" t="n">
        <v>12</v>
      </c>
      <c r="B19" s="353" t="inlineStr">
        <is>
          <t>日</t>
        </is>
      </c>
      <c r="C19" s="354" t="n"/>
      <c r="D19" s="354" t="inlineStr">
        <is>
          <t>休み</t>
        </is>
      </c>
      <c r="E19" s="354" t="n"/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352" t="n">
        <v>13</v>
      </c>
      <c r="B20" s="353" t="inlineStr">
        <is>
          <t>月</t>
        </is>
      </c>
      <c r="C20" s="354" t="inlineStr">
        <is>
          <t>成人の日</t>
        </is>
      </c>
      <c r="D20" s="354" t="inlineStr">
        <is>
          <t>休み</t>
        </is>
      </c>
      <c r="E20" s="354" t="n"/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349" t="n">
        <v>14</v>
      </c>
      <c r="B21" s="350" t="inlineStr">
        <is>
          <t>火</t>
        </is>
      </c>
      <c r="C21" s="355" t="inlineStr">
        <is>
          <t xml:space="preserve">1、2年模試全日　　あいさつ運動 　　　　　　　　　　　　　　　　　　　</t>
        </is>
      </c>
      <c r="D21" s="355" t="inlineStr">
        <is>
          <t>～18:00</t>
        </is>
      </c>
      <c r="E21" s="355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349" t="n">
        <v>15</v>
      </c>
      <c r="B22" s="350" t="inlineStr">
        <is>
          <t>水</t>
        </is>
      </c>
      <c r="C22" s="351" t="inlineStr">
        <is>
          <t>月①②③⑤⑥⑦</t>
        </is>
      </c>
      <c r="D22" s="355" t="inlineStr">
        <is>
          <t>～18:00</t>
        </is>
      </c>
      <c r="E22" s="351" t="n"/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349" t="n">
        <v>16</v>
      </c>
      <c r="B23" s="350" t="inlineStr">
        <is>
          <t>木</t>
        </is>
      </c>
      <c r="C23" s="355" t="inlineStr">
        <is>
          <t>40×6　　④３年共通テスト説明会　　SC来校</t>
        </is>
      </c>
      <c r="D23" s="355" t="inlineStr">
        <is>
          <t>～18:00</t>
        </is>
      </c>
      <c r="E23" s="355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349" t="n">
        <v>17</v>
      </c>
      <c r="B24" s="350" t="inlineStr">
        <is>
          <t>金</t>
        </is>
      </c>
      <c r="C24" s="351" t="n"/>
      <c r="D24" s="355" t="inlineStr">
        <is>
          <t>～18:00</t>
        </is>
      </c>
      <c r="E24" s="351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352" t="n">
        <v>18</v>
      </c>
      <c r="B25" s="353" t="inlineStr">
        <is>
          <t>土</t>
        </is>
      </c>
      <c r="C25" s="354" t="inlineStr">
        <is>
          <t xml:space="preserve">共通テスト　</t>
        </is>
      </c>
      <c r="D25" s="354" t="inlineStr">
        <is>
          <t>9:00～16:00</t>
        </is>
      </c>
      <c r="E25" s="354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352" t="n">
        <v>19</v>
      </c>
      <c r="B26" s="353" t="inlineStr">
        <is>
          <t>日</t>
        </is>
      </c>
      <c r="C26" s="354" t="inlineStr">
        <is>
          <t>共通テスト</t>
        </is>
      </c>
      <c r="D26" s="354" t="inlineStr">
        <is>
          <t>休み</t>
        </is>
      </c>
      <c r="E26" s="354" t="n"/>
      <c r="F26" s="310" t="n"/>
      <c r="G26" s="310" t="n"/>
    </row>
    <row r="27" ht="24" customHeight="1">
      <c r="A27" s="349" t="n">
        <v>20</v>
      </c>
      <c r="B27" s="350" t="inlineStr">
        <is>
          <t>月</t>
        </is>
      </c>
      <c r="C27" s="355" t="inlineStr">
        <is>
          <t>④3年データリサーチ</t>
        </is>
      </c>
      <c r="D27" s="355" t="inlineStr">
        <is>
          <t>休み</t>
        </is>
      </c>
      <c r="E27" s="355" t="n"/>
      <c r="F27" s="310" t="n"/>
      <c r="G27" s="310" t="n"/>
    </row>
    <row r="28" ht="24" customHeight="1">
      <c r="A28" s="349" t="n">
        <v>21</v>
      </c>
      <c r="B28" s="350" t="inlineStr">
        <is>
          <t>火</t>
        </is>
      </c>
      <c r="C28" s="351" t="inlineStr">
        <is>
          <t>3年午前授業</t>
        </is>
      </c>
      <c r="D28" s="355" t="inlineStr">
        <is>
          <t>～18:00</t>
        </is>
      </c>
      <c r="E28" s="351" t="n"/>
      <c r="F28" s="310" t="n"/>
      <c r="G28" s="310" t="n"/>
    </row>
    <row r="29" ht="24" customHeight="1">
      <c r="A29" s="349" t="n">
        <v>22</v>
      </c>
      <c r="B29" s="350" t="inlineStr">
        <is>
          <t>水</t>
        </is>
      </c>
      <c r="C29" s="351" t="inlineStr">
        <is>
          <t>3年学年末テスト</t>
        </is>
      </c>
      <c r="D29" s="355" t="inlineStr">
        <is>
          <t>～18:00</t>
        </is>
      </c>
      <c r="E29" s="351" t="n"/>
      <c r="F29" s="310" t="n"/>
      <c r="G29" s="310" t="n"/>
    </row>
    <row r="30" ht="24" customHeight="1">
      <c r="A30" s="349" t="n">
        <v>23</v>
      </c>
      <c r="B30" s="350" t="inlineStr">
        <is>
          <t>木</t>
        </is>
      </c>
      <c r="C30" s="355" t="inlineStr">
        <is>
          <t>3年午前授業（～1/31）　　短縮45×6　3年成績処理　　SC来校</t>
        </is>
      </c>
      <c r="D30" s="355" t="inlineStr">
        <is>
          <t>～18:00</t>
        </is>
      </c>
      <c r="E30" s="355" t="n"/>
      <c r="F30" s="310" t="n"/>
      <c r="G30" s="310" t="n"/>
    </row>
    <row r="31" ht="24" customHeight="1">
      <c r="A31" s="349" t="n">
        <v>24</v>
      </c>
      <c r="B31" s="350" t="inlineStr">
        <is>
          <t>金</t>
        </is>
      </c>
      <c r="C31" s="351" t="inlineStr">
        <is>
          <t>短縮45×6　　遅刻ゼロの日</t>
        </is>
      </c>
      <c r="D31" s="355" t="inlineStr">
        <is>
          <t>～18:00</t>
        </is>
      </c>
      <c r="E31" s="351" t="n"/>
      <c r="F31" s="310" t="n"/>
      <c r="G31" s="310" t="n"/>
    </row>
    <row r="32" ht="24" customHeight="1">
      <c r="A32" s="352" t="n">
        <v>25</v>
      </c>
      <c r="B32" s="353" t="inlineStr">
        <is>
          <t>土</t>
        </is>
      </c>
      <c r="C32" s="354" t="n"/>
      <c r="D32" s="354" t="inlineStr">
        <is>
          <t>9:00～16:00</t>
        </is>
      </c>
      <c r="E32" s="354" t="n"/>
      <c r="F32" s="310" t="n"/>
      <c r="G32" s="310" t="n"/>
    </row>
    <row r="33" ht="24" customHeight="1">
      <c r="A33" s="352" t="n">
        <v>26</v>
      </c>
      <c r="B33" s="353" t="inlineStr">
        <is>
          <t>日</t>
        </is>
      </c>
      <c r="C33" s="354" t="inlineStr">
        <is>
          <t>２年英語検定</t>
        </is>
      </c>
      <c r="D33" s="354" t="inlineStr">
        <is>
          <t>休み</t>
        </is>
      </c>
      <c r="E33" s="354" t="n"/>
      <c r="F33" s="310" t="n"/>
      <c r="G33" s="310" t="n"/>
    </row>
    <row r="34" ht="24" customHeight="1">
      <c r="A34" s="349" t="n">
        <v>27</v>
      </c>
      <c r="B34" s="350" t="inlineStr">
        <is>
          <t>月</t>
        </is>
      </c>
      <c r="C34" s="351" t="inlineStr">
        <is>
          <t>短縮45×6（①②③④⑤⑦）</t>
        </is>
      </c>
      <c r="D34" s="351" t="inlineStr">
        <is>
          <t>休み</t>
        </is>
      </c>
      <c r="E34" s="351" t="n"/>
      <c r="F34" s="310" t="n"/>
      <c r="G34" s="310" t="n"/>
    </row>
    <row r="35" ht="24" customHeight="1">
      <c r="A35" s="349" t="n">
        <v>28</v>
      </c>
      <c r="B35" s="350" t="inlineStr">
        <is>
          <t>火</t>
        </is>
      </c>
      <c r="C35" s="351" t="inlineStr">
        <is>
          <t>SSW来校</t>
        </is>
      </c>
      <c r="D35" s="351" t="inlineStr">
        <is>
          <t>～18:00</t>
        </is>
      </c>
      <c r="E35" s="351" t="n"/>
      <c r="F35" s="310" t="n"/>
      <c r="G35" s="310" t="n"/>
    </row>
    <row r="36" ht="24" customHeight="1">
      <c r="A36" s="349" t="n">
        <v>29</v>
      </c>
      <c r="B36" s="350" t="inlineStr">
        <is>
          <t>水</t>
        </is>
      </c>
      <c r="C36" s="351" t="inlineStr">
        <is>
          <t>④3年LHR　素点・欠時票配付</t>
        </is>
      </c>
      <c r="D36" s="351" t="inlineStr">
        <is>
          <t>～18:00</t>
        </is>
      </c>
      <c r="E36" s="351" t="n"/>
      <c r="F36" s="310" t="n"/>
      <c r="G36" s="310" t="n"/>
    </row>
    <row r="37" ht="24" customHeight="1">
      <c r="A37" s="349" t="n">
        <v>30</v>
      </c>
      <c r="B37" s="350" t="inlineStr">
        <is>
          <t>木</t>
        </is>
      </c>
      <c r="C37" s="355" t="inlineStr">
        <is>
          <t>45×6　　①～③３年LHR　④三送会　　SC来校</t>
        </is>
      </c>
      <c r="D37" s="355" t="inlineStr">
        <is>
          <t>～18:00</t>
        </is>
      </c>
      <c r="E37" s="355" t="n"/>
      <c r="F37" s="310" t="n"/>
      <c r="G37" s="310" t="n"/>
    </row>
    <row r="38" ht="24" customHeight="1" thickBot="1">
      <c r="A38" s="356" t="n">
        <v>31</v>
      </c>
      <c r="B38" s="357" t="inlineStr">
        <is>
          <t>金</t>
        </is>
      </c>
      <c r="C38" s="358" t="inlineStr">
        <is>
          <t>短縮45×6　　①②3年LHR</t>
        </is>
      </c>
      <c r="D38" s="358" t="inlineStr">
        <is>
          <t>～18:00</t>
        </is>
      </c>
      <c r="E38" s="358" t="n"/>
      <c r="F38" s="310" t="n"/>
      <c r="G38" s="310" t="n"/>
    </row>
    <row r="39" ht="126.75" customHeight="1" thickBot="1" thickTop="1">
      <c r="A39" s="524" t="inlineStr">
        <is>
          <t>リード百愉会
定期演奏会の練習</t>
        </is>
      </c>
      <c r="B39" s="525" t="n"/>
      <c r="C39" s="525" t="n"/>
      <c r="D39" s="525" t="n"/>
      <c r="E39" s="526" t="n"/>
      <c r="F39" s="327" t="n"/>
      <c r="G39" s="313" t="n"/>
    </row>
  </sheetData>
  <mergeCells count="8">
    <mergeCell ref="A39:E39"/>
    <mergeCell ref="A4:C4"/>
    <mergeCell ref="A1:C1"/>
    <mergeCell ref="A5:C5"/>
    <mergeCell ref="A7:E7"/>
    <mergeCell ref="A3:C3"/>
    <mergeCell ref="A6:E6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5" horizontalDpi="4294967294"/>
</worksheet>
</file>

<file path=xl/worksheets/sheet20.xml><?xml version="1.0" encoding="utf-8"?>
<worksheet xmlns="http://schemas.openxmlformats.org/spreadsheetml/2006/main">
  <sheetPr codeName="Sheet19">
    <outlinePr summaryBelow="1" summaryRight="1"/>
    <pageSetUpPr fitToPage="1"/>
  </sheetPr>
  <dimension ref="A1:R39"/>
  <sheetViews>
    <sheetView view="pageBreakPreview" zoomScale="85" zoomScaleNormal="100" zoomScaleSheetLayoutView="85" workbookViewId="0">
      <selection activeCell="F27" sqref="F27"/>
    </sheetView>
  </sheetViews>
  <sheetFormatPr baseColWidth="8" defaultColWidth="9" defaultRowHeight="13.2"/>
  <cols>
    <col width="4.44140625" customWidth="1" style="1" min="1" max="1"/>
    <col width="4.88671875" customWidth="1" style="1" min="2" max="2"/>
    <col width="38.6640625" customWidth="1" style="472" min="3" max="3"/>
    <col width="12.5546875" customWidth="1" style="1" min="4" max="4"/>
    <col width="43.6640625" customWidth="1" style="472" min="5" max="5"/>
    <col width="9" customWidth="1" style="1" min="6" max="12"/>
    <col width="9.88671875" bestFit="1" customWidth="1" style="1" min="13" max="13"/>
    <col width="9" customWidth="1" style="1" min="14" max="15"/>
    <col width="9.88671875" bestFit="1" customWidth="1" style="1" min="16" max="17"/>
    <col width="9" customWidth="1" style="1" min="18" max="16384"/>
  </cols>
  <sheetData>
    <row r="1" ht="27.75" customHeight="1">
      <c r="A1" s="467" t="inlineStr">
        <is>
          <t>【９月・10月（暫定）　行事予定】　１学年・２学年・３学年・管理G・進路G・生徒会G・生活G・入選G</t>
        </is>
      </c>
      <c r="D1" s="329" t="n"/>
      <c r="E1" s="330" t="n"/>
      <c r="F1" s="2" t="inlineStr">
        <is>
          <t>加筆・修正は朱書きで、３月７日（火）１５時までにお願いします。</t>
        </is>
      </c>
    </row>
    <row r="2" ht="23.25" customHeight="1" thickBot="1">
      <c r="A2" s="468" t="inlineStr">
        <is>
          <t>夏季休業中に申し訳ございません。加筆・修正は朱書きで、7月30日（金）１７時までにお願いします。</t>
        </is>
      </c>
      <c r="B2" s="522" t="n"/>
      <c r="C2" s="522" t="n"/>
      <c r="D2" s="329" t="n"/>
      <c r="E2" s="330" t="n"/>
      <c r="F2" s="3" t="inlineStr">
        <is>
          <t>企画会議資料　　5月１２日（木）</t>
        </is>
      </c>
    </row>
    <row r="3" ht="18.75" customHeight="1">
      <c r="A3" s="469" t="inlineStr">
        <is>
          <t>グループ会議資料（回覧）　　　　　　　　　　　　　　　　　　　　　　　　　　　　　　　　　　令和３年７月26日（月）</t>
        </is>
      </c>
      <c r="B3" s="523" t="n"/>
      <c r="C3" s="523" t="n"/>
      <c r="F3" s="2" t="inlineStr">
        <is>
          <t>加筆・修正は朱書きで、３月７日（火）１５時までにお願いします。</t>
        </is>
      </c>
    </row>
    <row r="4" ht="18.75" customHeight="1">
      <c r="A4" s="471" t="inlineStr">
        <is>
          <t>企画会議資料　　　　　　　　　　　　　　　　　　　　　　　　　　　　　　　　　　　　　　　　　令和３年８月稟議</t>
        </is>
      </c>
      <c r="F4" s="3" t="inlineStr">
        <is>
          <t>企画会議資料　　5月１２日（木）</t>
        </is>
      </c>
    </row>
    <row r="5" ht="18.75" customHeight="1">
      <c r="A5" s="471" t="inlineStr">
        <is>
          <t>朝の打ち合わせ資料　　　　　　　　　　　　　　　　　　　　　　　　　　　　　　　　　　　　　令和３年８月　日（　）</t>
        </is>
      </c>
      <c r="F5" s="3" t="n"/>
    </row>
    <row r="6" ht="18.75" customHeight="1" thickBot="1">
      <c r="A6" s="473" t="inlineStr">
        <is>
          <t>学務開発Ｇ</t>
        </is>
      </c>
      <c r="F6" s="4" t="inlineStr">
        <is>
          <t>企画会議資料　　１０月１３日（木）</t>
        </is>
      </c>
      <c r="G6" s="8" t="n"/>
    </row>
    <row r="7" ht="24" customHeight="1" thickBot="1">
      <c r="A7" s="536" t="inlineStr">
        <is>
          <t>2024年度　（2025年）２月　吹奏楽部活動予定</t>
        </is>
      </c>
      <c r="B7" s="525" t="n"/>
      <c r="C7" s="525" t="n"/>
      <c r="D7" s="525" t="n"/>
      <c r="E7" s="526" t="n"/>
      <c r="F7" s="1" t="inlineStr">
        <is>
          <t>←ヒラギノ角ゴPro W3 13Bold</t>
        </is>
      </c>
      <c r="J7" s="3" t="inlineStr">
        <is>
          <t>企画会議（稟議）資料</t>
        </is>
      </c>
    </row>
    <row r="8" ht="24" customHeight="1">
      <c r="A8" s="333" t="n">
        <v>1</v>
      </c>
      <c r="B8" s="341" t="inlineStr">
        <is>
          <t>土</t>
        </is>
      </c>
      <c r="C8" s="335" t="inlineStr">
        <is>
          <t>PTA役員会・運営委員会　　ワックスがけ</t>
        </is>
      </c>
      <c r="D8" s="365" t="inlineStr">
        <is>
          <t>9:00～15:30</t>
        </is>
      </c>
      <c r="E8" s="335" t="n"/>
      <c r="F8" s="310" t="inlineStr">
        <is>
          <t>１行  15.75</t>
        </is>
      </c>
      <c r="G8" s="310" t="n"/>
    </row>
    <row r="9" ht="24" customHeight="1">
      <c r="A9" s="341" t="n">
        <v>2</v>
      </c>
      <c r="B9" s="341" t="inlineStr">
        <is>
          <t>日</t>
        </is>
      </c>
      <c r="C9" s="335" t="inlineStr">
        <is>
          <t>ワックスがけ</t>
        </is>
      </c>
      <c r="D9" s="365" t="inlineStr">
        <is>
          <t>休み</t>
        </is>
      </c>
      <c r="E9" s="335" t="n"/>
      <c r="F9" s="310" t="inlineStr">
        <is>
          <t>MSPゴシック１２　日・曜日・行事</t>
        </is>
      </c>
      <c r="G9" s="310" t="n"/>
    </row>
    <row r="10" ht="24" customHeight="1">
      <c r="A10" s="342" t="n">
        <v>3</v>
      </c>
      <c r="B10" s="342" t="inlineStr">
        <is>
          <t>月</t>
        </is>
      </c>
      <c r="C10" s="331" t="inlineStr">
        <is>
          <t xml:space="preserve">一斉点検・個票提出  </t>
        </is>
      </c>
      <c r="D10" s="366" t="inlineStr">
        <is>
          <t>休み</t>
        </is>
      </c>
      <c r="E10" s="331" t="inlineStr">
        <is>
          <t>40分×7</t>
        </is>
      </c>
      <c r="F10" s="310" t="n"/>
      <c r="G10" s="310" t="n"/>
    </row>
    <row r="11" ht="24" customHeight="1">
      <c r="A11" s="342" t="n">
        <v>4</v>
      </c>
      <c r="B11" s="342" t="inlineStr">
        <is>
          <t>火</t>
        </is>
      </c>
      <c r="C11" s="331" t="inlineStr">
        <is>
          <t>学年会・一覧表提出　　SSW来校</t>
        </is>
      </c>
      <c r="D11" s="366" t="inlineStr">
        <is>
          <t>～18:00</t>
        </is>
      </c>
      <c r="E11" s="331" t="n"/>
      <c r="F11" s="310" t="n"/>
      <c r="G11" s="310" t="n"/>
    </row>
    <row r="12" ht="24" customHeight="1">
      <c r="A12" s="342" t="n">
        <v>5</v>
      </c>
      <c r="B12" s="342" t="inlineStr">
        <is>
          <t>水</t>
        </is>
      </c>
      <c r="C12" s="331" t="inlineStr">
        <is>
          <t>卒業判定会議</t>
        </is>
      </c>
      <c r="D12" s="366" t="inlineStr">
        <is>
          <t>～18:00</t>
        </is>
      </c>
      <c r="E12" s="331" t="inlineStr">
        <is>
          <t>45分×6</t>
        </is>
      </c>
      <c r="F12" s="311" t="n"/>
      <c r="G12" s="310" t="n"/>
      <c r="N12" s="328">
        <f>TIME(9,10,0)</f>
        <v/>
      </c>
      <c r="O12" s="1" t="n">
        <v>1</v>
      </c>
      <c r="Q12" s="328">
        <f>TIME(9,0,0)</f>
        <v/>
      </c>
      <c r="R12" s="1" t="n">
        <v>1</v>
      </c>
    </row>
    <row r="13" ht="24" customHeight="1">
      <c r="A13" s="332" t="n">
        <v>6</v>
      </c>
      <c r="B13" s="342" t="inlineStr">
        <is>
          <t>木</t>
        </is>
      </c>
      <c r="C13" s="331" t="inlineStr">
        <is>
          <t>SC来校</t>
        </is>
      </c>
      <c r="D13" s="366" t="inlineStr">
        <is>
          <t>～18:00</t>
        </is>
      </c>
      <c r="E13" s="331" t="n"/>
      <c r="F13" s="312" t="inlineStr">
        <is>
          <t>筬島　勇貴</t>
        </is>
      </c>
      <c r="G13" s="310" t="n"/>
      <c r="M13" s="328">
        <f>TIME(0,35,0)</f>
        <v/>
      </c>
      <c r="N13" s="328">
        <f>N12+M13</f>
        <v/>
      </c>
      <c r="P13" s="328">
        <f>TIME(0,40,0)</f>
        <v/>
      </c>
      <c r="Q13" s="328">
        <f>Q12+P13</f>
        <v/>
      </c>
    </row>
    <row r="14" ht="24" customHeight="1">
      <c r="A14" s="332" t="n">
        <v>7</v>
      </c>
      <c r="B14" s="342" t="inlineStr">
        <is>
          <t>金</t>
        </is>
      </c>
      <c r="C14" s="331" t="inlineStr">
        <is>
          <t>職員会議</t>
        </is>
      </c>
      <c r="D14" s="366" t="inlineStr">
        <is>
          <t>～18:00</t>
        </is>
      </c>
      <c r="E14" s="331" t="inlineStr">
        <is>
          <t>45分×6</t>
        </is>
      </c>
      <c r="F14" s="312" t="inlineStr">
        <is>
          <t>篠崎　倫也</t>
        </is>
      </c>
      <c r="G14" s="310" t="inlineStr">
        <is>
          <t>→角田</t>
        </is>
      </c>
      <c r="M14" s="328">
        <f>TIME(0,10,0)</f>
        <v/>
      </c>
      <c r="N14" s="328">
        <f>N13+M14</f>
        <v/>
      </c>
      <c r="O14" s="1" t="n">
        <v>2</v>
      </c>
      <c r="P14" s="328">
        <f>TIME(0,10,0)</f>
        <v/>
      </c>
      <c r="Q14" s="328">
        <f>Q13+P14</f>
        <v/>
      </c>
      <c r="R14" s="1" t="n">
        <v>2</v>
      </c>
    </row>
    <row r="15" ht="24" customHeight="1">
      <c r="A15" s="341" t="n">
        <v>8</v>
      </c>
      <c r="B15" s="341" t="inlineStr">
        <is>
          <t>土</t>
        </is>
      </c>
      <c r="C15" s="335" t="inlineStr">
        <is>
          <t>（ワックスがけ予備日）</t>
        </is>
      </c>
      <c r="D15" s="365" t="inlineStr">
        <is>
          <t>9:00～15:30</t>
        </is>
      </c>
      <c r="E15" s="335" t="n"/>
      <c r="F15" s="312" t="inlineStr">
        <is>
          <t>市岡　裕次</t>
        </is>
      </c>
      <c r="G15" s="310" t="n"/>
      <c r="M15" s="328">
        <f>TIME(0,35,0)</f>
        <v/>
      </c>
      <c r="N15" s="328">
        <f>N14+M15</f>
        <v/>
      </c>
      <c r="P15" s="328">
        <f>TIME(0,40,0)</f>
        <v/>
      </c>
      <c r="Q15" s="328">
        <f>Q14+P15</f>
        <v/>
      </c>
    </row>
    <row r="16" ht="24" customHeight="1">
      <c r="A16" s="341" t="n">
        <v>9</v>
      </c>
      <c r="B16" s="341" t="inlineStr">
        <is>
          <t>日</t>
        </is>
      </c>
      <c r="C16" s="335" t="inlineStr">
        <is>
          <t>（ワックスがけ予備日）</t>
        </is>
      </c>
      <c r="D16" s="365" t="inlineStr">
        <is>
          <t>休み</t>
        </is>
      </c>
      <c r="E16" s="335" t="n"/>
      <c r="F16" s="310" t="n"/>
      <c r="G16" s="310" t="n"/>
      <c r="M16" s="328">
        <f>TIME(0,10,0)</f>
        <v/>
      </c>
      <c r="N16" s="328">
        <f>N15+M16</f>
        <v/>
      </c>
      <c r="O16" s="1" t="n">
        <v>3</v>
      </c>
      <c r="P16" s="328">
        <f>TIME(0,10,0)</f>
        <v/>
      </c>
      <c r="Q16" s="328">
        <f>Q15+P16</f>
        <v/>
      </c>
      <c r="R16" s="1" t="n">
        <v>3</v>
      </c>
    </row>
    <row r="17" ht="24" customHeight="1">
      <c r="A17" s="342" t="n">
        <v>10</v>
      </c>
      <c r="B17" s="342" t="inlineStr">
        <is>
          <t>月</t>
        </is>
      </c>
      <c r="C17" s="331" t="n"/>
      <c r="D17" s="366" t="inlineStr">
        <is>
          <t>～17:00</t>
        </is>
      </c>
      <c r="E17" s="331" t="n"/>
      <c r="F17" s="310" t="n"/>
      <c r="G17" s="310" t="n"/>
      <c r="M17" s="328">
        <f>TIME(0,35,0)</f>
        <v/>
      </c>
      <c r="N17" s="328">
        <f>N16+M17</f>
        <v/>
      </c>
      <c r="P17" s="328">
        <f>TIME(0,40,0)</f>
        <v/>
      </c>
      <c r="Q17" s="328">
        <f>Q16+P17</f>
        <v/>
      </c>
    </row>
    <row r="18" ht="24" customHeight="1">
      <c r="A18" s="333" t="n">
        <v>11</v>
      </c>
      <c r="B18" s="341" t="inlineStr">
        <is>
          <t>火</t>
        </is>
      </c>
      <c r="C18" s="335" t="inlineStr">
        <is>
          <t>建国記念日</t>
        </is>
      </c>
      <c r="D18" s="365" t="inlineStr">
        <is>
          <t>9:00～15:30</t>
        </is>
      </c>
      <c r="E18" s="335" t="n"/>
      <c r="F18" s="310" t="n"/>
      <c r="G18" s="310" t="n"/>
      <c r="M18" s="328">
        <f>TIME(0,10,0)</f>
        <v/>
      </c>
      <c r="N18" s="328">
        <f>N17+M18</f>
        <v/>
      </c>
      <c r="O18" s="1" t="n">
        <v>4</v>
      </c>
      <c r="P18" s="328">
        <f>TIME(0,10,0)</f>
        <v/>
      </c>
      <c r="Q18" s="328">
        <f>Q17+P18</f>
        <v/>
      </c>
      <c r="R18" s="1" t="n">
        <v>4</v>
      </c>
    </row>
    <row r="19" ht="24" customHeight="1">
      <c r="A19" s="342" t="n">
        <v>12</v>
      </c>
      <c r="B19" s="342" t="inlineStr">
        <is>
          <t>水</t>
        </is>
      </c>
      <c r="C19" s="331" t="n"/>
      <c r="D19" s="366" t="inlineStr">
        <is>
          <t>～18:00</t>
        </is>
      </c>
      <c r="E19" s="331" t="n"/>
      <c r="F19" s="310" t="n"/>
      <c r="G19" s="310" t="n"/>
      <c r="M19" s="328">
        <f>TIME(0,35,0)</f>
        <v/>
      </c>
      <c r="N19" s="328">
        <f>N18+M19</f>
        <v/>
      </c>
      <c r="P19" s="328">
        <f>TIME(0,40,0)</f>
        <v/>
      </c>
      <c r="Q19" s="328">
        <f>Q18+P19</f>
        <v/>
      </c>
      <c r="R19" s="1" t="inlineStr">
        <is>
          <t>昼休み</t>
        </is>
      </c>
    </row>
    <row r="20" ht="24" customHeight="1">
      <c r="A20" s="332" t="n">
        <v>13</v>
      </c>
      <c r="B20" s="342" t="inlineStr">
        <is>
          <t>木</t>
        </is>
      </c>
      <c r="C20" s="361" t="inlineStr">
        <is>
          <t>短縮40×４（火①②④＋大掃除）　13:30 完全下校</t>
        </is>
      </c>
      <c r="D20" s="367" t="inlineStr">
        <is>
          <t>休み</t>
        </is>
      </c>
      <c r="E20" s="331" t="inlineStr">
        <is>
          <t>40分×4</t>
        </is>
      </c>
      <c r="F20" s="310" t="n"/>
      <c r="G20" s="310" t="n"/>
      <c r="M20" s="328">
        <f>TIME(0,10,0)</f>
        <v/>
      </c>
      <c r="N20" s="328">
        <f>N19+M20</f>
        <v/>
      </c>
      <c r="O20" s="1" t="n">
        <v>5</v>
      </c>
      <c r="P20" s="328">
        <f>TIME(0,45,0)</f>
        <v/>
      </c>
      <c r="Q20" s="328">
        <f>Q19+P20</f>
        <v/>
      </c>
      <c r="R20" s="1" t="n">
        <v>5</v>
      </c>
    </row>
    <row r="21" ht="24" customHeight="1">
      <c r="A21" s="363" t="n">
        <v>14</v>
      </c>
      <c r="B21" s="364" t="inlineStr">
        <is>
          <t>金</t>
        </is>
      </c>
      <c r="C21" s="360" t="inlineStr">
        <is>
          <t>自宅学習期間</t>
        </is>
      </c>
      <c r="D21" s="368" t="inlineStr">
        <is>
          <t>休み</t>
        </is>
      </c>
      <c r="E21" s="360" t="n"/>
      <c r="F21" s="310" t="n"/>
      <c r="G21" s="310" t="n"/>
      <c r="M21" s="328">
        <f>TIME(0,35,0)</f>
        <v/>
      </c>
      <c r="N21" s="328">
        <f>N20+M21</f>
        <v/>
      </c>
      <c r="P21" s="328">
        <f>TIME(0,40,0)</f>
        <v/>
      </c>
      <c r="Q21" s="328">
        <f>Q20+P21</f>
        <v/>
      </c>
    </row>
    <row r="22" ht="24" customHeight="1">
      <c r="A22" s="333" t="n">
        <v>15</v>
      </c>
      <c r="B22" s="341" t="inlineStr">
        <is>
          <t>土</t>
        </is>
      </c>
      <c r="C22" s="335" t="n"/>
      <c r="D22" s="365" t="inlineStr">
        <is>
          <t>休み</t>
        </is>
      </c>
      <c r="E22" s="335" t="n"/>
      <c r="F22" s="310" t="n"/>
      <c r="G22" s="310" t="n"/>
      <c r="M22" s="328">
        <f>TIME(0,5,0)</f>
        <v/>
      </c>
      <c r="N22" s="328">
        <f>N21+M22</f>
        <v/>
      </c>
      <c r="P22" s="328">
        <f>TIME(0,10,0)</f>
        <v/>
      </c>
      <c r="Q22" s="328">
        <f>Q21+P22</f>
        <v/>
      </c>
      <c r="R22" s="1" t="n">
        <v>6</v>
      </c>
    </row>
    <row r="23" ht="24" customHeight="1">
      <c r="A23" s="333" t="n">
        <v>16</v>
      </c>
      <c r="B23" s="341" t="inlineStr">
        <is>
          <t>日</t>
        </is>
      </c>
      <c r="C23" s="335" t="n"/>
      <c r="D23" s="365" t="inlineStr">
        <is>
          <t>休み</t>
        </is>
      </c>
      <c r="E23" s="335" t="n"/>
      <c r="F23" s="310" t="n"/>
      <c r="G23" s="310" t="n"/>
      <c r="M23" s="328">
        <f>TIME(0,35,0)</f>
        <v/>
      </c>
      <c r="P23" s="328">
        <f>TIME(0,40,0)</f>
        <v/>
      </c>
      <c r="Q23" s="328">
        <f>Q22+P23</f>
        <v/>
      </c>
    </row>
    <row r="24" ht="24" customHeight="1">
      <c r="A24" s="364" t="n">
        <v>17</v>
      </c>
      <c r="B24" s="364" t="inlineStr">
        <is>
          <t>月</t>
        </is>
      </c>
      <c r="C24" s="360" t="inlineStr">
        <is>
          <t>自宅学習期間</t>
        </is>
      </c>
      <c r="D24" s="368" t="inlineStr">
        <is>
          <t>休み</t>
        </is>
      </c>
      <c r="E24" s="360" t="n"/>
      <c r="F24" s="310" t="n"/>
      <c r="G24" s="310" t="n"/>
      <c r="M24" s="328">
        <f>TIME(0,10,0)</f>
        <v/>
      </c>
      <c r="P24" s="328">
        <f>TIME(0,10,0)</f>
        <v/>
      </c>
      <c r="Q24" s="328">
        <f>Q23+P24</f>
        <v/>
      </c>
      <c r="R24" s="1" t="n">
        <v>7</v>
      </c>
    </row>
    <row r="25" ht="24" customHeight="1">
      <c r="A25" s="364" t="n">
        <v>18</v>
      </c>
      <c r="B25" s="364" t="inlineStr">
        <is>
          <t>火</t>
        </is>
      </c>
      <c r="C25" s="360" t="inlineStr">
        <is>
          <t>自宅学習期間</t>
        </is>
      </c>
      <c r="D25" s="368" t="inlineStr">
        <is>
          <t>休み</t>
        </is>
      </c>
      <c r="E25" s="360" t="n"/>
      <c r="F25" s="310" t="n"/>
      <c r="G25" s="310" t="n"/>
      <c r="M25" s="328">
        <f>TIME(0,35,0)</f>
        <v/>
      </c>
      <c r="P25" s="328">
        <f>TIME(0,40,0)</f>
        <v/>
      </c>
      <c r="Q25" s="328">
        <f>Q24+P25</f>
        <v/>
      </c>
    </row>
    <row r="26" ht="24" customHeight="1">
      <c r="A26" s="342" t="n">
        <v>19</v>
      </c>
      <c r="B26" s="342" t="inlineStr">
        <is>
          <t>水</t>
        </is>
      </c>
      <c r="C26" s="331" t="inlineStr">
        <is>
          <t>火曜授業</t>
        </is>
      </c>
      <c r="D26" s="366" t="inlineStr">
        <is>
          <t>～18:00</t>
        </is>
      </c>
      <c r="E26" s="331" t="inlineStr">
        <is>
          <t>40分×6</t>
        </is>
      </c>
      <c r="F26" s="310" t="n"/>
      <c r="G26" s="310" t="n"/>
    </row>
    <row r="27" ht="24" customHeight="1">
      <c r="A27" s="332" t="n">
        <v>20</v>
      </c>
      <c r="B27" s="342" t="inlineStr">
        <is>
          <t>木</t>
        </is>
      </c>
      <c r="C27" s="331" t="inlineStr">
        <is>
          <t>木④月⑤⑥⑦（追検査の場合、13:30完全下校）　　SC来校</t>
        </is>
      </c>
      <c r="D27" s="366" t="inlineStr">
        <is>
          <t>～18:00</t>
        </is>
      </c>
      <c r="E27" s="331" t="n"/>
      <c r="F27" s="310" t="n"/>
      <c r="G27" s="310" t="n"/>
    </row>
    <row r="28" ht="24" customHeight="1">
      <c r="A28" s="332" t="n">
        <v>21</v>
      </c>
      <c r="B28" s="342" t="inlineStr">
        <is>
          <t>金</t>
        </is>
      </c>
      <c r="C28" s="331" t="inlineStr">
        <is>
          <t>遅刻ゼロの日</t>
        </is>
      </c>
      <c r="D28" s="366" t="inlineStr">
        <is>
          <t>～18:00</t>
        </is>
      </c>
      <c r="E28" s="331" t="n"/>
      <c r="F28" s="310" t="n"/>
      <c r="G28" s="310" t="n"/>
    </row>
    <row r="29" ht="24" customHeight="1">
      <c r="A29" s="333" t="n">
        <v>22</v>
      </c>
      <c r="B29" s="341" t="inlineStr">
        <is>
          <t>土</t>
        </is>
      </c>
      <c r="C29" s="335" t="n"/>
      <c r="D29" s="365" t="inlineStr">
        <is>
          <t>9:00～15:30</t>
        </is>
      </c>
      <c r="E29" s="335" t="n"/>
      <c r="F29" s="310" t="n"/>
      <c r="G29" s="310" t="n"/>
    </row>
    <row r="30" ht="24" customHeight="1">
      <c r="A30" s="333" t="n">
        <v>23</v>
      </c>
      <c r="B30" s="341" t="inlineStr">
        <is>
          <t>日</t>
        </is>
      </c>
      <c r="C30" s="335" t="inlineStr">
        <is>
          <t>天皇誕生日</t>
        </is>
      </c>
      <c r="D30" s="365" t="inlineStr">
        <is>
          <t>休み</t>
        </is>
      </c>
      <c r="E30" s="335" t="n"/>
      <c r="F30" s="310" t="n"/>
      <c r="G30" s="310" t="n"/>
    </row>
    <row r="31" ht="24" customHeight="1">
      <c r="A31" s="341" t="n">
        <v>24</v>
      </c>
      <c r="B31" s="341" t="inlineStr">
        <is>
          <t>月</t>
        </is>
      </c>
      <c r="C31" s="335" t="inlineStr">
        <is>
          <t>振替休日</t>
        </is>
      </c>
      <c r="D31" s="365" t="inlineStr">
        <is>
          <t>休み</t>
        </is>
      </c>
      <c r="E31" s="335" t="n"/>
      <c r="F31" s="310" t="n"/>
      <c r="G31" s="310" t="n"/>
    </row>
    <row r="32" ht="24" customHeight="1">
      <c r="A32" s="342" t="n">
        <v>25</v>
      </c>
      <c r="B32" s="342" t="inlineStr">
        <is>
          <t>火</t>
        </is>
      </c>
      <c r="C32" s="362" t="inlineStr">
        <is>
          <t>火③④⑤⑥  13:30完全下校　　AM３学年費監査　　SSW来校</t>
        </is>
      </c>
      <c r="D32" s="366" t="inlineStr">
        <is>
          <t>休み</t>
        </is>
      </c>
      <c r="E32" s="362" t="inlineStr">
        <is>
          <t>40分×4</t>
        </is>
      </c>
      <c r="F32" s="310" t="n"/>
      <c r="G32" s="310" t="n"/>
    </row>
    <row r="33" ht="24" customHeight="1">
      <c r="A33" s="342" t="n">
        <v>26</v>
      </c>
      <c r="B33" s="342" t="inlineStr">
        <is>
          <t>水</t>
        </is>
      </c>
      <c r="C33" s="331" t="n"/>
      <c r="D33" s="366" t="inlineStr">
        <is>
          <t>休み</t>
        </is>
      </c>
      <c r="E33" s="331" t="inlineStr">
        <is>
          <t>40分×6</t>
        </is>
      </c>
      <c r="F33" s="310" t="n"/>
      <c r="G33" s="310" t="n"/>
    </row>
    <row r="34" ht="24" customHeight="1">
      <c r="A34" s="332" t="n">
        <v>27</v>
      </c>
      <c r="B34" s="342" t="inlineStr">
        <is>
          <t>木</t>
        </is>
      </c>
      <c r="C34" s="331" t="inlineStr">
        <is>
          <t>3年登校日（③④）　　産業医来校　　衛生委員会　　SC来校</t>
        </is>
      </c>
      <c r="D34" s="366" t="inlineStr">
        <is>
          <t>休み</t>
        </is>
      </c>
      <c r="E34" s="331" t="n"/>
      <c r="F34" s="310" t="n"/>
      <c r="G34" s="310" t="n"/>
    </row>
    <row r="35" ht="24" customHeight="1">
      <c r="A35" s="332" t="n">
        <v>28</v>
      </c>
      <c r="B35" s="342" t="inlineStr">
        <is>
          <t>金</t>
        </is>
      </c>
      <c r="C35" s="361" t="inlineStr">
        <is>
          <t>AM 特別時間割、卒業式準備　　PM ３年登校日、卒業式予行</t>
        </is>
      </c>
      <c r="D35" s="367" t="inlineStr">
        <is>
          <t>卒業式予行</t>
        </is>
      </c>
      <c r="E35" s="361" t="inlineStr">
        <is>
          <t>40分×4</t>
        </is>
      </c>
      <c r="F35" s="310" t="n"/>
      <c r="G35" s="310" t="n"/>
    </row>
    <row r="36" ht="24" customHeight="1">
      <c r="A36" s="341" t="n"/>
      <c r="B36" s="341" t="n"/>
      <c r="C36" s="335" t="n"/>
      <c r="D36" s="365" t="n"/>
      <c r="E36" s="335" t="n"/>
      <c r="F36" s="310" t="n"/>
      <c r="G36" s="310" t="n"/>
    </row>
    <row r="37" ht="24" customHeight="1">
      <c r="A37" s="342" t="n"/>
      <c r="B37" s="342" t="n"/>
      <c r="C37" s="331" t="n"/>
      <c r="D37" s="331" t="n"/>
      <c r="E37" s="331" t="n"/>
      <c r="F37" s="310" t="n"/>
      <c r="G37" s="310" t="n"/>
    </row>
    <row r="38" ht="24" customHeight="1" thickBot="1">
      <c r="A38" s="342" t="n"/>
      <c r="B38" s="342" t="n"/>
      <c r="C38" s="331" t="n"/>
      <c r="D38" s="331" t="n"/>
      <c r="E38" s="331" t="n"/>
      <c r="F38" s="310" t="n"/>
      <c r="G38" s="310" t="n"/>
    </row>
    <row r="39" ht="126.75" customHeight="1" thickBot="1" thickTop="1">
      <c r="A39" s="524" t="inlineStr">
        <is>
          <t>卒業式の入退場の練習</t>
        </is>
      </c>
      <c r="B39" s="525" t="n"/>
      <c r="C39" s="525" t="n"/>
      <c r="D39" s="525" t="n"/>
      <c r="E39" s="526" t="n"/>
      <c r="F39" s="327" t="n"/>
      <c r="G39" s="313" t="n"/>
    </row>
  </sheetData>
  <mergeCells count="8">
    <mergeCell ref="A39:E39"/>
    <mergeCell ref="A4:C4"/>
    <mergeCell ref="A1:C1"/>
    <mergeCell ref="A5:C5"/>
    <mergeCell ref="A7:E7"/>
    <mergeCell ref="A3:C3"/>
    <mergeCell ref="A6:E6"/>
    <mergeCell ref="A2:C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5" horizont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石川 岩夫</dc:creator>
  <dcterms:created xsi:type="dcterms:W3CDTF">2014-11-27T03:18:38Z</dcterms:created>
  <dcterms:modified xsi:type="dcterms:W3CDTF">2026-06-26T12:57:57Z</dcterms:modified>
  <cp:lastModifiedBy>中田　大樹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0x010100F189312F9C40824FB7357E0021A152F0</vt:lpwstr>
  </property>
  <property name="MediaServiceImageTags" fmtid="{D5CDD505-2E9C-101B-9397-08002B2CF9AE}" pid="3">
    <vt:lpwstr/>
  </property>
</Properties>
</file>